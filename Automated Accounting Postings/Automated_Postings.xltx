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/>
  <workbookPr/>
  <mc:AlternateContent xmlns:mc="http://schemas.openxmlformats.org/markup-compatibility/2006">
    <mc:Choice Requires="x15">
      <x15ac:absPath xmlns:x15ac="http://schemas.microsoft.com/office/spreadsheetml/2010/11/ac" url="/Users/pierreoosthuizen/Library/CloudStorage/OneDrive-DiscoveryBank/06. Templates/"/>
    </mc:Choice>
  </mc:AlternateContent>
  <xr:revisionPtr revIDLastSave="0" documentId="8_{C21FF1AC-522E-1046-9AA8-D96B3EBCF71D}" xr6:coauthVersionLast="47" xr6:coauthVersionMax="47" xr10:uidLastSave="{00000000-0000-0000-0000-000000000000}"/>
  <bookViews>
    <workbookView xWindow="0" yWindow="500" windowWidth="38400" windowHeight="21100" activeTab="1" xr2:uid="{69B0D6D4-DC49-2E45-A600-A62C5E051B66}"/>
  </bookViews>
  <sheets>
    <sheet name="control" sheetId="5" r:id="rId1"/>
    <sheet name="t_accounts" sheetId="4" r:id="rId2"/>
    <sheet name="settings" sheetId="1" r:id="rId3"/>
    <sheet name="postings_source" sheetId="2" r:id="rId4"/>
    <sheet name="reference_data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5" i="4" l="1"/>
  <c r="N9" i="4"/>
  <c r="G37" i="4"/>
  <c r="G24" i="4"/>
  <c r="G9" i="4"/>
</calcChain>
</file>

<file path=xl/sharedStrings.xml><?xml version="1.0" encoding="utf-8"?>
<sst xmlns="http://schemas.openxmlformats.org/spreadsheetml/2006/main" count="239" uniqueCount="48">
  <si>
    <t>Posting Id</t>
  </si>
  <si>
    <t>Event Type</t>
  </si>
  <si>
    <t>Effective Date</t>
  </si>
  <si>
    <t>CST_S_SETTLED</t>
  </si>
  <si>
    <t>NEW</t>
  </si>
  <si>
    <t>ZAR</t>
  </si>
  <si>
    <t>SARB Settlement Trading</t>
  </si>
  <si>
    <t>REVERSAL</t>
  </si>
  <si>
    <t>GLAccount</t>
  </si>
  <si>
    <t>Gl Account Name</t>
  </si>
  <si>
    <t>Debit</t>
  </si>
  <si>
    <t>Credit</t>
  </si>
  <si>
    <t>PostingId</t>
  </si>
  <si>
    <t>EffectiveDate</t>
  </si>
  <si>
    <t>EventType</t>
  </si>
  <si>
    <t>BO_POSTING_ID</t>
  </si>
  <si>
    <t>POSTING_TYPE</t>
  </si>
  <si>
    <t>BO_POSTING_TYPE</t>
  </si>
  <si>
    <t>AMOUNT</t>
  </si>
  <si>
    <t>TRANSFER_ID</t>
  </si>
  <si>
    <t>LINKED_ID</t>
  </si>
  <si>
    <t>EFFECTIVE_DATE</t>
  </si>
  <si>
    <t>CURRENCY_CODE</t>
  </si>
  <si>
    <t>DEBIT_CLP_ACCOUNT</t>
  </si>
  <si>
    <t>DEBIT_ACCOUNT_NAME</t>
  </si>
  <si>
    <t>DEBIT_GL_ACCOUNT</t>
  </si>
  <si>
    <t>CREDIT_CLP_ACCOUNT</t>
  </si>
  <si>
    <t>CREDIT_ACCOUNT_NAME</t>
  </si>
  <si>
    <t>CREDIT_GL_ACCOUNT</t>
  </si>
  <si>
    <t>SENT_DATE</t>
  </si>
  <si>
    <t>SENT_STATUS</t>
  </si>
  <si>
    <t>PRINCIPAL_LOAN</t>
  </si>
  <si>
    <t>DISCOVERY BANK LIMITED-ZAR-Treasury Own Funds-JHB.MM.INTERBANK.LC-StructuredFlows</t>
  </si>
  <si>
    <t>SENT</t>
  </si>
  <si>
    <t>INTEREST</t>
  </si>
  <si>
    <t>ACCRUAL</t>
  </si>
  <si>
    <t>2039960 - SARB Settlement Trading</t>
  </si>
  <si>
    <t>Column1</t>
  </si>
  <si>
    <t>MMH_Fix term dep Asset_Banks</t>
  </si>
  <si>
    <t>Treasury Own Funds</t>
  </si>
  <si>
    <t>MMH_FTD_Int Inc_Banks</t>
  </si>
  <si>
    <t>MMH_Fixed Rate Loan - Banks (IntAcc)</t>
  </si>
  <si>
    <t>2080643 - MMH_Fix term dep Asset_Banks</t>
  </si>
  <si>
    <t>2080641 - Treasury Own Funds</t>
  </si>
  <si>
    <t>2080642 - MMH_FTD_Int Inc_Banks</t>
  </si>
  <si>
    <t>2094881 - MMH_Fixed Rate Loan - Banks (IntAcc)</t>
  </si>
  <si>
    <t>PostingType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</si>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</sst>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yyyy\-mm\-dd"/>
  </numFmts>
  <fonts count="3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FF"/>
      <name val="Menlo,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2" fontId="0" fillId="0" borderId="0" xfId="1" applyNumberFormat="1" applyFont="1"/>
    <xf numFmtId="0" fontId="2" fillId="0" borderId="0" xfId="0" applyFont="1"/>
    <xf numFmtId="1" fontId="0" fillId="0" borderId="0" xfId="0" applyNumberFormat="1"/>
    <xf numFmtId="3" fontId="0" fillId="0" borderId="0" xfId="0" applyNumberFormat="1"/>
    <xf numFmtId="165" fontId="0" fillId="0" borderId="0" xfId="0" applyNumberForma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32"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65" formatCode="yyyy\-mm\-dd"/>
    </dxf>
    <dxf>
      <numFmt numFmtId="3" formatCode="#,##0"/>
    </dxf>
    <dxf>
      <numFmt numFmtId="3" formatCode="#,##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558800</xdr:colOff>
      <xdr:row>5</xdr:row>
      <xdr:rowOff>38100</xdr:rowOff>
    </xdr:from>
    <xdr:to>
      <xdr:col>9</xdr:col>
      <xdr:colOff>584200</xdr:colOff>
      <xdr:row>6</xdr:row>
      <xdr:rowOff>127000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6BB24A70-F415-D046-9BF8-1AA665B68497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VuSVozMy13T2RQbHZVbVJ0eTRkdGtCVXNMYzY2Z0ZMRlgxX19MdlEwMUxIdw&quot;}"/>
            </a:ext>
          </a:extLst>
        </xdr:cNvPr>
        <xdr:cNvSpPr/>
      </xdr:nvSpPr>
      <xdr:spPr>
        <a:xfrm>
          <a:off x="6337300" y="1054100"/>
          <a:ext cx="1676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 Account Postings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317500</xdr:colOff>
      <xdr:row>1</xdr:row>
      <xdr:rowOff>139700</xdr:rowOff>
    </xdr:from>
    <xdr:to>
      <xdr:col>2</xdr:col>
      <xdr:colOff>660400</xdr:colOff>
      <xdr:row>6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3C577C-DDEE-855A-A454-46DF17666DAC}"/>
            </a:ext>
          </a:extLst>
        </xdr:cNvPr>
        <xdr:cNvSpPr txBox="1"/>
      </xdr:nvSpPr>
      <xdr:spPr>
        <a:xfrm>
          <a:off x="317500" y="342900"/>
          <a:ext cx="2870200" cy="914400"/>
        </a:xfrm>
        <a:prstGeom prst="rect">
          <a:avLst/>
        </a:prstGeom>
        <a:ln w="25400" cap="rnd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rgbClr val="FF0000"/>
              </a:solidFill>
            </a:rPr>
            <a:t>This table must not</a:t>
          </a:r>
          <a:r>
            <a:rPr lang="en-GB" sz="1200" b="1" baseline="0">
              <a:solidFill>
                <a:srgbClr val="FF0000"/>
              </a:solidFill>
            </a:rPr>
            <a:t> be amended in any way other than removing and adding postings. The format is important to allow the script to parse postings correctly.</a:t>
          </a:r>
          <a:endParaRPr lang="en-GB" sz="1200" b="1">
            <a:solidFill>
              <a:srgbClr val="FF0000"/>
            </a:solidFill>
          </a:endParaRPr>
        </a:p>
      </xdr:txBody>
    </xdr:sp>
    <xdr:clientData fPrintsWithSheet="0"/>
  </xdr:twoCellAnchor>
  <xdr:twoCellAnchor>
    <xdr:from>
      <xdr:col>2</xdr:col>
      <xdr:colOff>1168400</xdr:colOff>
      <xdr:row>3</xdr:row>
      <xdr:rowOff>38100</xdr:rowOff>
    </xdr:from>
    <xdr:to>
      <xdr:col>4</xdr:col>
      <xdr:colOff>520700</xdr:colOff>
      <xdr:row>4</xdr:row>
      <xdr:rowOff>127000</xdr:rowOff>
    </xdr:to>
    <xdr:sp macro="" textlink="">
      <xdr:nvSpPr>
        <xdr:cNvPr id="3" name="Rounded Rectangle 2" descr="Run the script that parse the postings and populate the t-accounts.">
          <a:extLst>
            <a:ext uri="{FF2B5EF4-FFF2-40B4-BE49-F238E27FC236}">
              <a16:creationId xmlns:a16="http://schemas.microsoft.com/office/drawing/2014/main" id="{EB766FFD-8B76-6243-B5CA-75F2B48E0804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VuSVozMy13T2RQbHZVbVJ0eTRkdGtCVXNMYzY2Z0ZMRlgxX19MdlEwMUxIdw&quot;}"/>
            </a:ext>
          </a:extLst>
        </xdr:cNvPr>
        <xdr:cNvSpPr/>
      </xdr:nvSpPr>
      <xdr:spPr>
        <a:xfrm>
          <a:off x="3695700" y="647700"/>
          <a:ext cx="1676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 Account Postings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D4520EC1-5687-0947-B31C-E879EBB63A2D}" name="account_2080643" displayName="account_2080643" ref="B2:G9" totalsRowCount="1">
  <autoFilter ref="B2:G8" xr:uid="{D4520EC1-5687-0947-B31C-E879EBB63A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3:G8">
    <sortCondition ref="C3:C8"/>
  </sortState>
  <tableColumns count="6">
    <tableColumn id="1" xr3:uid="{D8E244C4-B9EA-EA4A-9916-8648E469E37D}" name="PostingId" totalsRowLabel="Total"/>
    <tableColumn id="2" xr3:uid="{E94BBE41-9F68-A544-A420-D19E7BB32440}" name="EffectiveDate" dataDxfId="27" totalsRowDxfId="14"/>
    <tableColumn id="3" xr3:uid="{D9A2E061-10B0-9946-8BFA-86A7BE455457}" name="EventType"/>
    <tableColumn id="4" xr3:uid="{F5662C53-6948-B444-A655-2047BDB3869E}" name="PostingType"/>
    <tableColumn id="5" xr3:uid="{31C27ADA-E152-F540-8B4B-B8120490143E}" name="Debit" dataDxfId="29" totalsRowDxfId="13"/>
    <tableColumn id="6" xr3:uid="{728793AB-EEA8-F044-9040-823B7954628A}" name="Credit" totalsRowFunction="custom" dataDxfId="28" totalsRowDxfId="12">
      <totalsRowFormula>SUM(account_2080643[Debit])-SUM(account_2080643[Credit])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606946EA-AFD7-3F4E-BAC7-B3B0FB47D72D}" name="account_2080641" displayName="account_2080641" ref="B12:G24" totalsRowCount="1">
  <autoFilter ref="B12:G23" xr:uid="{606946EA-AFD7-3F4E-BAC7-B3B0FB47D7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13:G23">
    <sortCondition ref="C13:C23"/>
  </sortState>
  <tableColumns count="6">
    <tableColumn id="1" xr3:uid="{332040BE-4189-5A4D-A81D-DC3B30E1DA2D}" name="PostingId" totalsRowLabel="Total"/>
    <tableColumn id="2" xr3:uid="{0EBD660F-C44C-A145-BEDA-54CC9C172319}" name="EffectiveDate" dataDxfId="24" totalsRowDxfId="5"/>
    <tableColumn id="3" xr3:uid="{C0DF4295-0E67-CF4E-ADBA-7DA4E587B8E3}" name="EventType"/>
    <tableColumn id="4" xr3:uid="{F3E64A69-04EC-6842-9582-D18B6F420196}" name="PostingType"/>
    <tableColumn id="5" xr3:uid="{24FEF01F-F127-044D-855C-897DEDDE8C6D}" name="Debit" dataDxfId="26" totalsRowDxfId="4"/>
    <tableColumn id="6" xr3:uid="{8713D144-304F-BD47-9D92-A1448E3927DF}" name="Credit" totalsRowFunction="custom" dataDxfId="25" totalsRowDxfId="3">
      <totalsRowFormula>SUM(account_2080641[Debit])-SUM(account_2080641[Credit])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39C559C-6C2E-EF44-8884-D11841FF7495}" name="account_2080642" displayName="account_2080642" ref="B27:G37" totalsRowCount="1">
  <autoFilter ref="B27:G36" xr:uid="{E39C559C-6C2E-EF44-8884-D11841FF74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28:G36">
    <sortCondition ref="C28:C36"/>
  </sortState>
  <tableColumns count="6">
    <tableColumn id="1" xr3:uid="{8CEDBCAC-16AB-CE41-A0D3-88BDE3F745E7}" name="PostingId" totalsRowLabel="Total"/>
    <tableColumn id="2" xr3:uid="{6DD516C8-E0BF-FE43-8ACE-2575748C3485}" name="EffectiveDate" dataDxfId="21" totalsRowDxfId="11"/>
    <tableColumn id="3" xr3:uid="{DB6BED55-9636-604B-A0F4-C540793FEBE7}" name="EventType"/>
    <tableColumn id="4" xr3:uid="{C43F7A0B-6519-2741-8B4C-E8326CE9B2E5}" name="PostingType"/>
    <tableColumn id="5" xr3:uid="{B3944B6A-DF0C-4346-A3C1-F410A2D44CEB}" name="Debit" dataDxfId="23" totalsRowDxfId="10"/>
    <tableColumn id="6" xr3:uid="{DAF7A73A-DB9B-494B-85AC-4FB597ED93DB}" name="Credit" totalsRowFunction="custom" dataDxfId="22" totalsRowDxfId="9">
      <totalsRowFormula>SUM(account_2080642[Debit])-SUM(account_2080642[Credit])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27DCEB8F-6F77-E947-BC2A-D3F0EC8E1ADF}" name="account_2094881" displayName="account_2094881" ref="I2:N9" totalsRowCount="1">
  <autoFilter ref="I2:N8" xr:uid="{27DCEB8F-6F77-E947-BC2A-D3F0EC8E1A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3:N8">
    <sortCondition ref="J3:J8"/>
  </sortState>
  <tableColumns count="6">
    <tableColumn id="1" xr3:uid="{1F94C956-1BA2-E246-B2E2-B645A8747CC1}" name="PostingId" totalsRowLabel="Total"/>
    <tableColumn id="2" xr3:uid="{7CF6695B-98CE-164B-AF9F-360A1468EF41}" name="EffectiveDate" dataDxfId="18" totalsRowDxfId="8"/>
    <tableColumn id="3" xr3:uid="{1A662946-36E3-AC4F-9615-411E97A1B997}" name="EventType"/>
    <tableColumn id="4" xr3:uid="{57422EE7-BEB7-E449-AA64-BD4B9F1039A5}" name="PostingType"/>
    <tableColumn id="5" xr3:uid="{23C0E2E8-4FB2-E942-9657-4A0D2A641CA3}" name="Debit" dataDxfId="20" totalsRowDxfId="7"/>
    <tableColumn id="6" xr3:uid="{F92DA2CB-34BA-524C-8788-4194C1EDB7FB}" name="Credit" totalsRowFunction="custom" dataDxfId="19" totalsRowDxfId="6">
      <totalsRowFormula>SUM(account_2094881[Debit])-SUM(account_2094881[Credit])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43E680A1-37B2-664D-8C47-8C240C8928C9}" name="account_2039960" displayName="account_2039960" ref="I12:N15" totalsRowCount="1">
  <autoFilter ref="I12:N14" xr:uid="{43E680A1-37B2-664D-8C47-8C240C8928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13:N14">
    <sortCondition ref="J13:J14"/>
  </sortState>
  <tableColumns count="6">
    <tableColumn id="1" xr3:uid="{6D5A8DB0-2C8D-204A-B304-D99808F5EC55}" name="PostingId" totalsRowLabel="Total"/>
    <tableColumn id="2" xr3:uid="{C6461244-85CE-BB49-87E5-D0B31B0464E4}" name="EffectiveDate" dataDxfId="15" totalsRowDxfId="2"/>
    <tableColumn id="3" xr3:uid="{20E93EA0-CF96-6046-AE00-58E5777FB983}" name="EventType"/>
    <tableColumn id="4" xr3:uid="{19B2696D-D79E-374F-9719-4CEFFAD23343}" name="PostingType"/>
    <tableColumn id="5" xr3:uid="{59708639-BA8A-BB4A-9D3A-36D9471DC306}" name="Debit" dataDxfId="17" totalsRowDxfId="1"/>
    <tableColumn id="6" xr3:uid="{B8503A06-D874-7845-8027-DF07DE5EE135}" name="Credit" totalsRowFunction="custom" dataDxfId="16" totalsRowDxfId="0">
      <totalsRowFormula>SUM(account_2039960[Debit])-SUM(account_2039960[Credit])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F8140-4167-8C4F-8473-661AF6909159}" name="postings_source" displayName="postings_source" ref="A10:Q27" totalsRowShown="0">
  <autoFilter ref="A10:Q27" xr:uid="{830F8140-4167-8C4F-8473-661AF6909159}"/>
  <tableColumns count="17">
    <tableColumn id="1" xr3:uid="{A4ECE6A9-4274-FC43-84CE-069794FDFC82}" name="BO_POSTING_ID"/>
    <tableColumn id="2" xr3:uid="{9389BC11-5FFB-A84A-AB80-05CB7E5F79A7}" name="POSTING_TYPE"/>
    <tableColumn id="3" xr3:uid="{C12A8276-6941-E045-BD14-48A718425163}" name="BO_POSTING_TYPE"/>
    <tableColumn id="4" xr3:uid="{7666DF6A-5A31-2F43-8856-12D6C629422A}" name="AMOUNT"/>
    <tableColumn id="5" xr3:uid="{B35D2CCA-8453-FA49-B56C-17992D718EB2}" name="TRANSFER_ID"/>
    <tableColumn id="6" xr3:uid="{FCDF5C5A-9C9B-384F-B955-83A0094CA214}" name="LINKED_ID"/>
    <tableColumn id="7" xr3:uid="{0B543AE7-BFCF-3D4D-B279-003BCA94C0B7}" name="EFFECTIVE_DATE"/>
    <tableColumn id="8" xr3:uid="{F04ADDA0-4E0D-0341-A792-220DD2AAFB4D}" name="CURRENCY_CODE"/>
    <tableColumn id="9" xr3:uid="{78955310-67ED-6F47-8196-A2F67DD69518}" name="DEBIT_CLP_ACCOUNT" dataDxfId="30"/>
    <tableColumn id="10" xr3:uid="{6B1D90D1-B766-F944-BFE6-3D1BE258F3BC}" name="DEBIT_ACCOUNT_NAME" dataDxfId="31" dataCellStyle="Comma"/>
    <tableColumn id="11" xr3:uid="{BA0B5C26-80D2-7B47-8A54-A35154763A91}" name="DEBIT_GL_ACCOUNT"/>
    <tableColumn id="13" xr3:uid="{7AD4C9F9-A7A6-544D-B9C7-F0737384C014}" name="CREDIT_CLP_ACCOUNT"/>
    <tableColumn id="12" xr3:uid="{DFFFFDD8-7113-E64C-B8BC-94BA2A0D34DD}" name="CREDIT_ACCOUNT_NAME"/>
    <tableColumn id="17" xr3:uid="{DE8F7314-4BD6-C040-8DAA-4212C758A833}" name="CREDIT_GL_ACCOUNT"/>
    <tableColumn id="16" xr3:uid="{DA3225A5-D923-664D-B541-87C465B7468C}" name="SENT_DATE"/>
    <tableColumn id="15" xr3:uid="{FDD857D0-0208-034C-939C-24434E1F906D}" name="SENT_STATUS"/>
    <tableColumn id="14" xr3:uid="{95F9985F-BF89-3842-9471-AF24115FF20D}" name="Column1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1286EF-619A-664A-95E0-6774C5F70921}" name="accounts" displayName="accounts" ref="A1:B7" totalsRowShown="0">
  <autoFilter ref="A1:B7" xr:uid="{A61286EF-619A-664A-95E0-6774C5F70921}"/>
  <tableColumns count="2">
    <tableColumn id="1" xr3:uid="{94350CB3-8AD4-384C-BEA0-64A89AC1AF84}" name="GLAccount"/>
    <tableColumn id="2" xr3:uid="{1DB7413E-4CEA-654E-990A-3CF8BCB07257}" name="Gl Account Name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EB68-125F-0C4E-A31C-29EC44E27630}">
  <dimension ref="E4:J19"/>
  <sheetViews>
    <sheetView showGridLines="0" workbookViewId="0">
      <selection activeCell="M9" sqref="M9"/>
    </sheetView>
  </sheetViews>
  <sheetFormatPr baseColWidth="10" defaultRowHeight="16"/>
  <sheetData>
    <row r="4" spans="5:10">
      <c r="E4" s="6"/>
      <c r="F4" s="7"/>
      <c r="G4" s="7"/>
      <c r="H4" s="7"/>
      <c r="I4" s="7"/>
      <c r="J4" s="8"/>
    </row>
    <row r="5" spans="5:10">
      <c r="E5" s="9"/>
      <c r="F5" s="10"/>
      <c r="G5" s="10"/>
      <c r="H5" s="10"/>
      <c r="I5" s="10"/>
      <c r="J5" s="11"/>
    </row>
    <row r="6" spans="5:10">
      <c r="E6" s="9"/>
      <c r="F6" s="10"/>
      <c r="G6" s="10"/>
      <c r="H6" s="10"/>
      <c r="I6" s="10"/>
      <c r="J6" s="11"/>
    </row>
    <row r="7" spans="5:10">
      <c r="E7" s="9"/>
      <c r="F7" s="10"/>
      <c r="G7" s="10"/>
      <c r="H7" s="10"/>
      <c r="I7" s="10"/>
      <c r="J7" s="11"/>
    </row>
    <row r="8" spans="5:10">
      <c r="E8" s="9"/>
      <c r="F8" s="10"/>
      <c r="G8" s="10"/>
      <c r="H8" s="10"/>
      <c r="I8" s="10"/>
      <c r="J8" s="11"/>
    </row>
    <row r="9" spans="5:10">
      <c r="E9" s="9"/>
      <c r="F9" s="10"/>
      <c r="G9" s="10"/>
      <c r="H9" s="10"/>
      <c r="I9" s="10"/>
      <c r="J9" s="11"/>
    </row>
    <row r="10" spans="5:10">
      <c r="E10" s="9"/>
      <c r="F10" s="10"/>
      <c r="G10" s="10"/>
      <c r="H10" s="10"/>
      <c r="I10" s="10"/>
      <c r="J10" s="11"/>
    </row>
    <row r="11" spans="5:10">
      <c r="E11" s="9"/>
      <c r="F11" s="10"/>
      <c r="G11" s="10"/>
      <c r="H11" s="10"/>
      <c r="I11" s="10"/>
      <c r="J11" s="11"/>
    </row>
    <row r="12" spans="5:10">
      <c r="E12" s="9"/>
      <c r="F12" s="10"/>
      <c r="G12" s="10"/>
      <c r="H12" s="10"/>
      <c r="I12" s="10"/>
      <c r="J12" s="11"/>
    </row>
    <row r="13" spans="5:10">
      <c r="E13" s="9"/>
      <c r="F13" s="10"/>
      <c r="G13" s="10"/>
      <c r="H13" s="10"/>
      <c r="I13" s="10"/>
      <c r="J13" s="11"/>
    </row>
    <row r="14" spans="5:10">
      <c r="E14" s="9"/>
      <c r="F14" s="10"/>
      <c r="G14" s="10"/>
      <c r="H14" s="10"/>
      <c r="I14" s="10"/>
      <c r="J14" s="11"/>
    </row>
    <row r="15" spans="5:10">
      <c r="E15" s="9"/>
      <c r="F15" s="10"/>
      <c r="G15" s="10"/>
      <c r="H15" s="10"/>
      <c r="I15" s="10"/>
      <c r="J15" s="11"/>
    </row>
    <row r="16" spans="5:10">
      <c r="E16" s="9"/>
      <c r="F16" s="10"/>
      <c r="G16" s="10"/>
      <c r="H16" s="10"/>
      <c r="I16" s="10"/>
      <c r="J16" s="11"/>
    </row>
    <row r="17" spans="5:10">
      <c r="E17" s="9"/>
      <c r="F17" s="10"/>
      <c r="G17" s="10"/>
      <c r="H17" s="10"/>
      <c r="I17" s="10"/>
      <c r="J17" s="11"/>
    </row>
    <row r="18" spans="5:10">
      <c r="E18" s="9"/>
      <c r="F18" s="10"/>
      <c r="G18" s="10"/>
      <c r="H18" s="10"/>
      <c r="I18" s="10"/>
      <c r="J18" s="11"/>
    </row>
    <row r="19" spans="5:10">
      <c r="E19" s="12"/>
      <c r="F19" s="13"/>
      <c r="G19" s="13"/>
      <c r="H19" s="13"/>
      <c r="I19" s="13"/>
      <c r="J19" s="14"/>
    </row>
  </sheetData>
  <mergeCells count="1">
    <mergeCell ref="E4:J1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C5EF-32E0-574E-A721-C7098BE9A2F5}">
  <dimension ref="B1:N352"/>
  <sheetViews>
    <sheetView showGridLines="0" tabSelected="1" topLeftCell="B1" workbookViewId="0">
      <selection activeCell="J25" sqref="J25"/>
    </sheetView>
  </sheetViews>
  <sheetFormatPr baseColWidth="10" defaultRowHeight="16"/>
  <cols>
    <col min="1" max="2" width="11" customWidth="1"/>
    <col min="3" max="3" width="12.5" bestFit="1" customWidth="1"/>
    <col min="4" max="4" width="15.1640625" bestFit="1" customWidth="1"/>
    <col min="5" max="6" width="13.6640625" bestFit="1" customWidth="1"/>
    <col min="7" max="8" width="11" customWidth="1"/>
    <col min="9" max="9" width="12.5" bestFit="1" customWidth="1"/>
    <col min="10" max="11" width="13.83203125" bestFit="1" customWidth="1"/>
    <col min="12" max="14" width="11" customWidth="1"/>
  </cols>
  <sheetData>
    <row r="1" spans="2:14">
      <c r="B1" t="s">
        <v>42</v>
      </c>
      <c r="I1" t="s">
        <v>45</v>
      </c>
    </row>
    <row r="2" spans="2:14">
      <c r="B2" t="s">
        <v>12</v>
      </c>
      <c r="C2" s="5" t="s">
        <v>13</v>
      </c>
      <c r="D2" t="s">
        <v>14</v>
      </c>
      <c r="E2" t="s">
        <v>46</v>
      </c>
      <c r="F2" s="4" t="s">
        <v>10</v>
      </c>
      <c r="G2" s="4" t="s">
        <v>11</v>
      </c>
      <c r="I2" t="s">
        <v>12</v>
      </c>
      <c r="J2" s="5" t="s">
        <v>13</v>
      </c>
      <c r="K2" t="s">
        <v>14</v>
      </c>
      <c r="L2" t="s">
        <v>46</v>
      </c>
      <c r="M2" s="4" t="s">
        <v>10</v>
      </c>
      <c r="N2" s="4" t="s">
        <v>11</v>
      </c>
    </row>
    <row r="3" spans="2:14">
      <c r="B3">
        <v>578834</v>
      </c>
      <c r="C3" s="5">
        <v>45303</v>
      </c>
      <c r="D3" t="s">
        <v>31</v>
      </c>
      <c r="E3" t="s">
        <v>4</v>
      </c>
      <c r="F3" s="4">
        <v>250000000</v>
      </c>
      <c r="G3" s="4"/>
      <c r="I3">
        <v>578947</v>
      </c>
      <c r="J3" s="5">
        <v>45303</v>
      </c>
      <c r="K3" t="s">
        <v>35</v>
      </c>
      <c r="L3" t="s">
        <v>4</v>
      </c>
      <c r="M3" s="4">
        <v>55479.45</v>
      </c>
      <c r="N3" s="4"/>
    </row>
    <row r="4" spans="2:14">
      <c r="B4">
        <v>578845</v>
      </c>
      <c r="C4" s="5">
        <v>45303</v>
      </c>
      <c r="D4" t="s">
        <v>31</v>
      </c>
      <c r="E4" t="s">
        <v>7</v>
      </c>
      <c r="F4" s="4"/>
      <c r="G4" s="4">
        <v>250000000</v>
      </c>
      <c r="I4">
        <v>578946</v>
      </c>
      <c r="J4" s="5">
        <v>45304</v>
      </c>
      <c r="K4" t="s">
        <v>35</v>
      </c>
      <c r="L4" t="s">
        <v>7</v>
      </c>
      <c r="M4" s="4"/>
      <c r="N4" s="4">
        <v>55479.45</v>
      </c>
    </row>
    <row r="5" spans="2:14">
      <c r="B5">
        <v>578846</v>
      </c>
      <c r="C5" s="5">
        <v>45303</v>
      </c>
      <c r="D5" t="s">
        <v>31</v>
      </c>
      <c r="E5" t="s">
        <v>4</v>
      </c>
      <c r="F5" s="4">
        <v>250000000</v>
      </c>
      <c r="G5" s="4"/>
      <c r="I5">
        <v>579205</v>
      </c>
      <c r="J5" s="5">
        <v>45304</v>
      </c>
      <c r="K5" t="s">
        <v>35</v>
      </c>
      <c r="L5" t="s">
        <v>4</v>
      </c>
      <c r="M5" s="4">
        <v>110958.9</v>
      </c>
      <c r="N5" s="4"/>
    </row>
    <row r="6" spans="2:14">
      <c r="B6">
        <v>578835</v>
      </c>
      <c r="C6" s="5">
        <v>45304</v>
      </c>
      <c r="D6" t="s">
        <v>31</v>
      </c>
      <c r="E6" t="s">
        <v>4</v>
      </c>
      <c r="F6" s="4"/>
      <c r="G6" s="4">
        <v>250000000</v>
      </c>
      <c r="I6">
        <v>579328</v>
      </c>
      <c r="J6" s="5">
        <v>45305</v>
      </c>
      <c r="K6" t="s">
        <v>35</v>
      </c>
      <c r="L6" t="s">
        <v>4</v>
      </c>
      <c r="M6" s="4">
        <v>166438.35999999999</v>
      </c>
      <c r="N6" s="4"/>
    </row>
    <row r="7" spans="2:14">
      <c r="B7">
        <v>578844</v>
      </c>
      <c r="C7" s="5">
        <v>45304</v>
      </c>
      <c r="D7" t="s">
        <v>31</v>
      </c>
      <c r="E7" t="s">
        <v>7</v>
      </c>
      <c r="F7" s="4">
        <v>250000000</v>
      </c>
      <c r="G7" s="4"/>
      <c r="I7">
        <v>579204</v>
      </c>
      <c r="J7" s="5">
        <v>45305</v>
      </c>
      <c r="K7" t="s">
        <v>35</v>
      </c>
      <c r="L7" t="s">
        <v>7</v>
      </c>
      <c r="M7" s="4"/>
      <c r="N7" s="4">
        <v>110958.9</v>
      </c>
    </row>
    <row r="8" spans="2:14">
      <c r="B8">
        <v>578847</v>
      </c>
      <c r="C8" s="5">
        <v>45306</v>
      </c>
      <c r="D8" t="s">
        <v>31</v>
      </c>
      <c r="E8" t="s">
        <v>4</v>
      </c>
      <c r="F8" s="4"/>
      <c r="G8" s="4">
        <v>250000000</v>
      </c>
      <c r="I8">
        <v>579327</v>
      </c>
      <c r="J8" s="5">
        <v>45306</v>
      </c>
      <c r="K8" t="s">
        <v>35</v>
      </c>
      <c r="L8" t="s">
        <v>7</v>
      </c>
      <c r="M8" s="4"/>
      <c r="N8" s="4">
        <v>166438.35999999999</v>
      </c>
    </row>
    <row r="9" spans="2:14">
      <c r="B9" t="s">
        <v>47</v>
      </c>
      <c r="C9" s="5"/>
      <c r="F9" s="4"/>
      <c r="G9" s="4">
        <f>SUM(account_2080643[Debit])-SUM(account_2080643[Credit])</f>
        <v>0</v>
      </c>
      <c r="I9" t="s">
        <v>47</v>
      </c>
      <c r="J9" s="5"/>
      <c r="M9" s="4"/>
      <c r="N9" s="4">
        <f>SUM(account_2094881[Debit])-SUM(account_2094881[Credit])</f>
        <v>0</v>
      </c>
    </row>
    <row r="11" spans="2:14">
      <c r="B11" t="s">
        <v>43</v>
      </c>
      <c r="I11" t="s">
        <v>36</v>
      </c>
    </row>
    <row r="12" spans="2:14">
      <c r="B12" t="s">
        <v>12</v>
      </c>
      <c r="C12" s="5" t="s">
        <v>13</v>
      </c>
      <c r="D12" t="s">
        <v>14</v>
      </c>
      <c r="E12" t="s">
        <v>46</v>
      </c>
      <c r="F12" s="4" t="s">
        <v>10</v>
      </c>
      <c r="G12" s="4" t="s">
        <v>11</v>
      </c>
      <c r="I12" t="s">
        <v>12</v>
      </c>
      <c r="J12" s="5" t="s">
        <v>13</v>
      </c>
      <c r="K12" t="s">
        <v>14</v>
      </c>
      <c r="L12" t="s">
        <v>46</v>
      </c>
      <c r="M12" s="4" t="s">
        <v>10</v>
      </c>
      <c r="N12" s="4" t="s">
        <v>11</v>
      </c>
    </row>
    <row r="13" spans="2:14">
      <c r="B13">
        <v>578834</v>
      </c>
      <c r="C13" s="5">
        <v>45303</v>
      </c>
      <c r="D13" t="s">
        <v>31</v>
      </c>
      <c r="E13" t="s">
        <v>4</v>
      </c>
      <c r="F13" s="4"/>
      <c r="G13" s="4">
        <v>250000000</v>
      </c>
      <c r="I13">
        <v>579083</v>
      </c>
      <c r="J13" s="5">
        <v>45303</v>
      </c>
      <c r="K13" t="s">
        <v>3</v>
      </c>
      <c r="L13" t="s">
        <v>4</v>
      </c>
      <c r="M13" s="4"/>
      <c r="N13" s="4">
        <v>250000000</v>
      </c>
    </row>
    <row r="14" spans="2:14">
      <c r="B14">
        <v>578845</v>
      </c>
      <c r="C14" s="5">
        <v>45303</v>
      </c>
      <c r="D14" t="s">
        <v>31</v>
      </c>
      <c r="E14" t="s">
        <v>7</v>
      </c>
      <c r="F14" s="4">
        <v>250000000</v>
      </c>
      <c r="G14" s="4"/>
      <c r="I14">
        <v>579344</v>
      </c>
      <c r="J14" s="5">
        <v>45306</v>
      </c>
      <c r="K14" t="s">
        <v>3</v>
      </c>
      <c r="L14" t="s">
        <v>4</v>
      </c>
      <c r="M14" s="4">
        <v>250166432</v>
      </c>
      <c r="N14" s="4"/>
    </row>
    <row r="15" spans="2:14">
      <c r="B15">
        <v>578846</v>
      </c>
      <c r="C15" s="5">
        <v>45303</v>
      </c>
      <c r="D15" t="s">
        <v>31</v>
      </c>
      <c r="E15" t="s">
        <v>4</v>
      </c>
      <c r="F15" s="4"/>
      <c r="G15" s="4">
        <v>250000000</v>
      </c>
      <c r="I15" t="s">
        <v>47</v>
      </c>
      <c r="J15" s="5"/>
      <c r="M15" s="4"/>
      <c r="N15" s="4">
        <f>SUM(account_2039960[Debit])-SUM(account_2039960[Credit])</f>
        <v>166432</v>
      </c>
    </row>
    <row r="16" spans="2:14">
      <c r="B16">
        <v>579083</v>
      </c>
      <c r="C16" s="5">
        <v>45303</v>
      </c>
      <c r="D16" t="s">
        <v>3</v>
      </c>
      <c r="E16" t="s">
        <v>4</v>
      </c>
      <c r="F16" s="4">
        <v>250000000</v>
      </c>
      <c r="G16" s="4"/>
    </row>
    <row r="17" spans="2:7">
      <c r="B17">
        <v>578835</v>
      </c>
      <c r="C17" s="5">
        <v>45304</v>
      </c>
      <c r="D17" t="s">
        <v>31</v>
      </c>
      <c r="E17" t="s">
        <v>4</v>
      </c>
      <c r="F17" s="4">
        <v>250000000</v>
      </c>
      <c r="G17" s="4"/>
    </row>
    <row r="18" spans="2:7">
      <c r="B18">
        <v>578836</v>
      </c>
      <c r="C18" s="5">
        <v>45304</v>
      </c>
      <c r="D18" t="s">
        <v>34</v>
      </c>
      <c r="E18" t="s">
        <v>4</v>
      </c>
      <c r="F18" s="4">
        <v>55479.45</v>
      </c>
      <c r="G18" s="4"/>
    </row>
    <row r="19" spans="2:7">
      <c r="B19">
        <v>578843</v>
      </c>
      <c r="C19" s="5">
        <v>45304</v>
      </c>
      <c r="D19" t="s">
        <v>34</v>
      </c>
      <c r="E19" t="s">
        <v>7</v>
      </c>
      <c r="F19" s="4"/>
      <c r="G19" s="4">
        <v>55479.45</v>
      </c>
    </row>
    <row r="20" spans="2:7">
      <c r="B20">
        <v>578844</v>
      </c>
      <c r="C20" s="5">
        <v>45304</v>
      </c>
      <c r="D20" t="s">
        <v>31</v>
      </c>
      <c r="E20" t="s">
        <v>7</v>
      </c>
      <c r="F20" s="4"/>
      <c r="G20" s="4">
        <v>250000000</v>
      </c>
    </row>
    <row r="21" spans="2:7">
      <c r="B21">
        <v>578847</v>
      </c>
      <c r="C21" s="5">
        <v>45306</v>
      </c>
      <c r="D21" t="s">
        <v>31</v>
      </c>
      <c r="E21" t="s">
        <v>4</v>
      </c>
      <c r="F21" s="4">
        <v>250000000</v>
      </c>
      <c r="G21" s="4"/>
    </row>
    <row r="22" spans="2:7">
      <c r="B22">
        <v>578848</v>
      </c>
      <c r="C22" s="5">
        <v>45306</v>
      </c>
      <c r="D22" t="s">
        <v>34</v>
      </c>
      <c r="E22" t="s">
        <v>4</v>
      </c>
      <c r="F22" s="4">
        <v>166438.35999999999</v>
      </c>
      <c r="G22" s="4"/>
    </row>
    <row r="23" spans="2:7">
      <c r="B23">
        <v>579344</v>
      </c>
      <c r="C23" s="5">
        <v>45306</v>
      </c>
      <c r="D23" t="s">
        <v>3</v>
      </c>
      <c r="E23" t="s">
        <v>4</v>
      </c>
      <c r="F23" s="4"/>
      <c r="G23" s="4">
        <v>250166432</v>
      </c>
    </row>
    <row r="24" spans="2:7">
      <c r="B24" t="s">
        <v>47</v>
      </c>
      <c r="C24" s="5"/>
      <c r="F24" s="4"/>
      <c r="G24" s="4">
        <f>SUM(account_2080641[Debit])-SUM(account_2080641[Credit])</f>
        <v>6.3600000143051147</v>
      </c>
    </row>
    <row r="26" spans="2:7">
      <c r="B26" t="s">
        <v>44</v>
      </c>
    </row>
    <row r="27" spans="2:7">
      <c r="B27" t="s">
        <v>12</v>
      </c>
      <c r="C27" s="5" t="s">
        <v>13</v>
      </c>
      <c r="D27" t="s">
        <v>14</v>
      </c>
      <c r="E27" t="s">
        <v>46</v>
      </c>
      <c r="F27" s="4" t="s">
        <v>10</v>
      </c>
      <c r="G27" s="4" t="s">
        <v>11</v>
      </c>
    </row>
    <row r="28" spans="2:7">
      <c r="B28">
        <v>578947</v>
      </c>
      <c r="C28" s="5">
        <v>45303</v>
      </c>
      <c r="D28" t="s">
        <v>35</v>
      </c>
      <c r="E28" t="s">
        <v>4</v>
      </c>
      <c r="F28" s="4"/>
      <c r="G28" s="4">
        <v>55479.45</v>
      </c>
    </row>
    <row r="29" spans="2:7">
      <c r="B29">
        <v>578836</v>
      </c>
      <c r="C29" s="5">
        <v>45304</v>
      </c>
      <c r="D29" t="s">
        <v>34</v>
      </c>
      <c r="E29" t="s">
        <v>4</v>
      </c>
      <c r="F29" s="4"/>
      <c r="G29" s="4">
        <v>55479.45</v>
      </c>
    </row>
    <row r="30" spans="2:7">
      <c r="B30">
        <v>578843</v>
      </c>
      <c r="C30" s="5">
        <v>45304</v>
      </c>
      <c r="D30" t="s">
        <v>34</v>
      </c>
      <c r="E30" t="s">
        <v>7</v>
      </c>
      <c r="F30" s="4">
        <v>55479.45</v>
      </c>
      <c r="G30" s="4"/>
    </row>
    <row r="31" spans="2:7">
      <c r="B31">
        <v>578946</v>
      </c>
      <c r="C31" s="5">
        <v>45304</v>
      </c>
      <c r="D31" t="s">
        <v>35</v>
      </c>
      <c r="E31" t="s">
        <v>7</v>
      </c>
      <c r="F31" s="4">
        <v>55479.45</v>
      </c>
      <c r="G31" s="4"/>
    </row>
    <row r="32" spans="2:7">
      <c r="B32">
        <v>579205</v>
      </c>
      <c r="C32" s="5">
        <v>45304</v>
      </c>
      <c r="D32" t="s">
        <v>35</v>
      </c>
      <c r="E32" t="s">
        <v>4</v>
      </c>
      <c r="F32" s="4"/>
      <c r="G32" s="4">
        <v>110958.9</v>
      </c>
    </row>
    <row r="33" spans="2:7">
      <c r="B33">
        <v>579328</v>
      </c>
      <c r="C33" s="5">
        <v>45305</v>
      </c>
      <c r="D33" t="s">
        <v>35</v>
      </c>
      <c r="E33" t="s">
        <v>4</v>
      </c>
      <c r="F33" s="4"/>
      <c r="G33" s="4">
        <v>166438.35999999999</v>
      </c>
    </row>
    <row r="34" spans="2:7">
      <c r="B34">
        <v>579204</v>
      </c>
      <c r="C34" s="5">
        <v>45305</v>
      </c>
      <c r="D34" t="s">
        <v>35</v>
      </c>
      <c r="E34" t="s">
        <v>7</v>
      </c>
      <c r="F34" s="4">
        <v>110958.9</v>
      </c>
      <c r="G34" s="4"/>
    </row>
    <row r="35" spans="2:7">
      <c r="B35">
        <v>578848</v>
      </c>
      <c r="C35" s="5">
        <v>45306</v>
      </c>
      <c r="D35" t="s">
        <v>34</v>
      </c>
      <c r="E35" t="s">
        <v>4</v>
      </c>
      <c r="F35" s="4"/>
      <c r="G35" s="4">
        <v>166438.35999999999</v>
      </c>
    </row>
    <row r="36" spans="2:7">
      <c r="B36">
        <v>579327</v>
      </c>
      <c r="C36" s="5">
        <v>45306</v>
      </c>
      <c r="D36" t="s">
        <v>35</v>
      </c>
      <c r="E36" t="s">
        <v>7</v>
      </c>
      <c r="F36" s="4">
        <v>166438.35999999999</v>
      </c>
      <c r="G36" s="4"/>
    </row>
    <row r="37" spans="2:7">
      <c r="B37" t="s">
        <v>47</v>
      </c>
      <c r="C37" s="5"/>
      <c r="F37" s="4"/>
      <c r="G37" s="4">
        <f>SUM(account_2080642[Debit])-SUM(account_2080642[Credit])</f>
        <v>-166438.36000000004</v>
      </c>
    </row>
    <row r="352" spans="4:4">
      <c r="D352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38F8B-ED35-6548-A949-9C666F6F9D13}">
  <dimension ref="A1"/>
  <sheetViews>
    <sheetView workbookViewId="0">
      <selection activeCell="B2" sqref="B2"/>
    </sheetView>
  </sheetViews>
  <sheetFormatPr baseColWidth="10" defaultRowHeight="1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1BE1-1E01-AF46-9E06-ACD0A2BB0559}">
  <dimension ref="A10:Q27"/>
  <sheetViews>
    <sheetView showGridLines="0" workbookViewId="0">
      <selection activeCell="F5" sqref="F5"/>
    </sheetView>
  </sheetViews>
  <sheetFormatPr baseColWidth="10" defaultRowHeight="16"/>
  <cols>
    <col min="1" max="1" width="17.1640625" bestFit="1" customWidth="1"/>
    <col min="2" max="2" width="16" bestFit="1" customWidth="1"/>
    <col min="3" max="3" width="19.5" bestFit="1" customWidth="1"/>
    <col min="4" max="4" width="11" bestFit="1" customWidth="1"/>
    <col min="5" max="5" width="15" bestFit="1" customWidth="1"/>
    <col min="6" max="6" width="12.6640625" bestFit="1" customWidth="1"/>
    <col min="7" max="7" width="17.6640625" bestFit="1" customWidth="1"/>
    <col min="8" max="8" width="19.1640625" bestFit="1" customWidth="1"/>
    <col min="9" max="9" width="22.33203125" bestFit="1" customWidth="1"/>
    <col min="10" max="10" width="94.33203125" bestFit="1" customWidth="1"/>
    <col min="11" max="11" width="21.1640625" bestFit="1" customWidth="1"/>
    <col min="12" max="12" width="23.6640625" bestFit="1" customWidth="1"/>
    <col min="13" max="13" width="94.33203125" bestFit="1" customWidth="1"/>
    <col min="14" max="14" width="22.5" bestFit="1" customWidth="1"/>
    <col min="15" max="15" width="13" bestFit="1" customWidth="1"/>
    <col min="16" max="16" width="14.6640625" bestFit="1" customWidth="1"/>
  </cols>
  <sheetData>
    <row r="10" spans="1:17">
      <c r="A10" t="s">
        <v>15</v>
      </c>
      <c r="B10" t="s">
        <v>16</v>
      </c>
      <c r="C10" t="s">
        <v>17</v>
      </c>
      <c r="D10" t="s">
        <v>18</v>
      </c>
      <c r="E10" t="s">
        <v>19</v>
      </c>
      <c r="F10" t="s">
        <v>20</v>
      </c>
      <c r="G10" t="s">
        <v>21</v>
      </c>
      <c r="H10" t="s">
        <v>22</v>
      </c>
      <c r="I10" t="s">
        <v>23</v>
      </c>
      <c r="J10" t="s">
        <v>24</v>
      </c>
      <c r="K10" t="s">
        <v>25</v>
      </c>
      <c r="L10" t="s">
        <v>26</v>
      </c>
      <c r="M10" t="s">
        <v>27</v>
      </c>
      <c r="N10" t="s">
        <v>28</v>
      </c>
      <c r="O10" t="s">
        <v>29</v>
      </c>
      <c r="P10" t="s">
        <v>30</v>
      </c>
      <c r="Q10" t="s">
        <v>37</v>
      </c>
    </row>
    <row r="11" spans="1:17">
      <c r="A11">
        <v>578834</v>
      </c>
      <c r="B11" t="s">
        <v>4</v>
      </c>
      <c r="C11" t="s">
        <v>31</v>
      </c>
      <c r="D11">
        <v>250000000</v>
      </c>
      <c r="E11">
        <v>0</v>
      </c>
      <c r="F11">
        <v>0</v>
      </c>
      <c r="G11">
        <v>45303</v>
      </c>
      <c r="H11" t="s">
        <v>5</v>
      </c>
      <c r="I11" s="3">
        <v>2080643</v>
      </c>
      <c r="J11" s="1" t="s">
        <v>38</v>
      </c>
      <c r="K11">
        <v>29222440</v>
      </c>
      <c r="L11">
        <v>2080641</v>
      </c>
      <c r="M11" t="s">
        <v>39</v>
      </c>
      <c r="N11">
        <v>20291000</v>
      </c>
      <c r="O11">
        <v>250000000</v>
      </c>
      <c r="P11">
        <v>45303.750194085645</v>
      </c>
      <c r="Q11" t="s">
        <v>33</v>
      </c>
    </row>
    <row r="12" spans="1:17">
      <c r="A12">
        <v>578845</v>
      </c>
      <c r="B12" t="s">
        <v>7</v>
      </c>
      <c r="C12" t="s">
        <v>31</v>
      </c>
      <c r="D12">
        <v>250000000</v>
      </c>
      <c r="E12">
        <v>0</v>
      </c>
      <c r="F12">
        <v>578834</v>
      </c>
      <c r="G12">
        <v>45303</v>
      </c>
      <c r="H12" t="s">
        <v>5</v>
      </c>
      <c r="I12" s="3">
        <v>2080641</v>
      </c>
      <c r="J12" s="1" t="s">
        <v>39</v>
      </c>
      <c r="K12">
        <v>20291000</v>
      </c>
      <c r="L12">
        <v>2080643</v>
      </c>
      <c r="M12" t="s">
        <v>38</v>
      </c>
      <c r="N12">
        <v>29222440</v>
      </c>
      <c r="O12">
        <v>250000000</v>
      </c>
      <c r="P12">
        <v>45303.750194259257</v>
      </c>
      <c r="Q12" t="s">
        <v>33</v>
      </c>
    </row>
    <row r="13" spans="1:17">
      <c r="A13">
        <v>578835</v>
      </c>
      <c r="B13" t="s">
        <v>4</v>
      </c>
      <c r="C13" t="s">
        <v>31</v>
      </c>
      <c r="D13">
        <v>250000000</v>
      </c>
      <c r="E13">
        <v>0</v>
      </c>
      <c r="F13">
        <v>0</v>
      </c>
      <c r="G13">
        <v>45304</v>
      </c>
      <c r="H13" t="s">
        <v>5</v>
      </c>
      <c r="I13" s="3">
        <v>2080641</v>
      </c>
      <c r="J13" s="1" t="s">
        <v>39</v>
      </c>
      <c r="K13">
        <v>20291000</v>
      </c>
      <c r="L13">
        <v>2080643</v>
      </c>
      <c r="M13" t="s">
        <v>38</v>
      </c>
      <c r="N13">
        <v>29222440</v>
      </c>
      <c r="O13">
        <v>250000000</v>
      </c>
      <c r="P13">
        <v>45304.75023672454</v>
      </c>
      <c r="Q13" t="s">
        <v>33</v>
      </c>
    </row>
    <row r="14" spans="1:17">
      <c r="A14">
        <v>578836</v>
      </c>
      <c r="B14" t="s">
        <v>4</v>
      </c>
      <c r="C14" t="s">
        <v>34</v>
      </c>
      <c r="D14">
        <v>55479.45</v>
      </c>
      <c r="E14">
        <v>0</v>
      </c>
      <c r="F14">
        <v>0</v>
      </c>
      <c r="G14">
        <v>45304</v>
      </c>
      <c r="H14" t="s">
        <v>5</v>
      </c>
      <c r="I14" s="3">
        <v>2080641</v>
      </c>
      <c r="J14" s="1" t="s">
        <v>39</v>
      </c>
      <c r="K14">
        <v>20291000</v>
      </c>
      <c r="L14">
        <v>2080642</v>
      </c>
      <c r="M14" t="s">
        <v>40</v>
      </c>
      <c r="N14">
        <v>51235040</v>
      </c>
      <c r="O14">
        <v>55479.45</v>
      </c>
      <c r="P14">
        <v>45304.750236770837</v>
      </c>
      <c r="Q14" t="s">
        <v>33</v>
      </c>
    </row>
    <row r="15" spans="1:17">
      <c r="A15">
        <v>578843</v>
      </c>
      <c r="B15" t="s">
        <v>7</v>
      </c>
      <c r="C15" t="s">
        <v>34</v>
      </c>
      <c r="D15">
        <v>55479.45</v>
      </c>
      <c r="E15">
        <v>0</v>
      </c>
      <c r="F15">
        <v>578836</v>
      </c>
      <c r="G15">
        <v>45304</v>
      </c>
      <c r="H15" t="s">
        <v>5</v>
      </c>
      <c r="I15" s="3">
        <v>2080642</v>
      </c>
      <c r="J15" s="1" t="s">
        <v>40</v>
      </c>
      <c r="K15">
        <v>51235040</v>
      </c>
      <c r="L15">
        <v>2080641</v>
      </c>
      <c r="M15" t="s">
        <v>39</v>
      </c>
      <c r="N15">
        <v>20291000</v>
      </c>
      <c r="O15">
        <v>55479.45</v>
      </c>
      <c r="P15">
        <v>45304.750236793981</v>
      </c>
      <c r="Q15" t="s">
        <v>33</v>
      </c>
    </row>
    <row r="16" spans="1:17">
      <c r="A16">
        <v>578844</v>
      </c>
      <c r="B16" t="s">
        <v>7</v>
      </c>
      <c r="C16" t="s">
        <v>31</v>
      </c>
      <c r="D16">
        <v>250000000</v>
      </c>
      <c r="E16">
        <v>0</v>
      </c>
      <c r="F16">
        <v>578835</v>
      </c>
      <c r="G16">
        <v>45304</v>
      </c>
      <c r="H16" t="s">
        <v>5</v>
      </c>
      <c r="I16" s="3">
        <v>2080643</v>
      </c>
      <c r="J16" s="1" t="s">
        <v>38</v>
      </c>
      <c r="K16">
        <v>29222440</v>
      </c>
      <c r="L16">
        <v>2080641</v>
      </c>
      <c r="M16" t="s">
        <v>39</v>
      </c>
      <c r="N16">
        <v>20291000</v>
      </c>
      <c r="O16">
        <v>250000000</v>
      </c>
      <c r="P16">
        <v>45304.750236817126</v>
      </c>
      <c r="Q16" t="s">
        <v>33</v>
      </c>
    </row>
    <row r="17" spans="1:17">
      <c r="A17">
        <v>578946</v>
      </c>
      <c r="B17" t="s">
        <v>7</v>
      </c>
      <c r="C17" t="s">
        <v>35</v>
      </c>
      <c r="D17">
        <v>55479.45</v>
      </c>
      <c r="E17">
        <v>0</v>
      </c>
      <c r="F17">
        <v>0</v>
      </c>
      <c r="G17">
        <v>45304</v>
      </c>
      <c r="H17" t="s">
        <v>5</v>
      </c>
      <c r="I17" s="3">
        <v>2080642</v>
      </c>
      <c r="J17" s="1" t="s">
        <v>40</v>
      </c>
      <c r="K17">
        <v>51235040</v>
      </c>
      <c r="L17">
        <v>2094881</v>
      </c>
      <c r="M17" t="s">
        <v>41</v>
      </c>
      <c r="N17">
        <v>29222449</v>
      </c>
      <c r="O17">
        <v>55479.45</v>
      </c>
      <c r="P17">
        <v>45304.750238125001</v>
      </c>
      <c r="Q17" t="s">
        <v>33</v>
      </c>
    </row>
    <row r="18" spans="1:17">
      <c r="A18">
        <v>579205</v>
      </c>
      <c r="B18" t="s">
        <v>4</v>
      </c>
      <c r="C18" t="s">
        <v>35</v>
      </c>
      <c r="D18">
        <v>110958.9</v>
      </c>
      <c r="E18">
        <v>0</v>
      </c>
      <c r="F18">
        <v>0</v>
      </c>
      <c r="G18">
        <v>45304</v>
      </c>
      <c r="H18" t="s">
        <v>5</v>
      </c>
      <c r="I18" s="3">
        <v>2094881</v>
      </c>
      <c r="J18" s="1" t="s">
        <v>41</v>
      </c>
      <c r="K18">
        <v>29222449</v>
      </c>
      <c r="L18">
        <v>2080642</v>
      </c>
      <c r="M18" t="s">
        <v>40</v>
      </c>
      <c r="N18">
        <v>51235040</v>
      </c>
      <c r="O18">
        <v>110958.9</v>
      </c>
      <c r="P18">
        <v>45304.750239641202</v>
      </c>
      <c r="Q18" t="s">
        <v>33</v>
      </c>
    </row>
    <row r="19" spans="1:17">
      <c r="A19">
        <v>579328</v>
      </c>
      <c r="B19" t="s">
        <v>4</v>
      </c>
      <c r="C19" t="s">
        <v>35</v>
      </c>
      <c r="D19">
        <v>166438.35999999999</v>
      </c>
      <c r="E19">
        <v>0</v>
      </c>
      <c r="F19">
        <v>0</v>
      </c>
      <c r="G19">
        <v>45305</v>
      </c>
      <c r="H19" t="s">
        <v>5</v>
      </c>
      <c r="I19" s="3">
        <v>2094881</v>
      </c>
      <c r="J19" s="1" t="s">
        <v>41</v>
      </c>
      <c r="K19">
        <v>29222449</v>
      </c>
      <c r="L19">
        <v>2080642</v>
      </c>
      <c r="M19" t="s">
        <v>40</v>
      </c>
      <c r="N19">
        <v>51235040</v>
      </c>
      <c r="O19">
        <v>166438.35999999999</v>
      </c>
      <c r="P19">
        <v>45305.750205335651</v>
      </c>
      <c r="Q19" t="s">
        <v>33</v>
      </c>
    </row>
    <row r="20" spans="1:17">
      <c r="A20">
        <v>578846</v>
      </c>
      <c r="B20" t="s">
        <v>4</v>
      </c>
      <c r="C20" t="s">
        <v>31</v>
      </c>
      <c r="D20">
        <v>250000000</v>
      </c>
      <c r="E20">
        <v>0</v>
      </c>
      <c r="F20">
        <v>0</v>
      </c>
      <c r="G20">
        <v>45303</v>
      </c>
      <c r="H20" t="s">
        <v>5</v>
      </c>
      <c r="I20" s="3">
        <v>2080643</v>
      </c>
      <c r="J20" s="1" t="s">
        <v>38</v>
      </c>
      <c r="K20">
        <v>29222440</v>
      </c>
      <c r="L20">
        <v>2080641</v>
      </c>
      <c r="M20" t="s">
        <v>39</v>
      </c>
      <c r="N20">
        <v>20291000</v>
      </c>
      <c r="O20">
        <v>250000000</v>
      </c>
      <c r="P20">
        <v>45303.750194293978</v>
      </c>
      <c r="Q20" t="s">
        <v>33</v>
      </c>
    </row>
    <row r="21" spans="1:17">
      <c r="A21">
        <v>578947</v>
      </c>
      <c r="B21" t="s">
        <v>4</v>
      </c>
      <c r="C21" t="s">
        <v>35</v>
      </c>
      <c r="D21">
        <v>55479.45</v>
      </c>
      <c r="E21">
        <v>0</v>
      </c>
      <c r="F21">
        <v>0</v>
      </c>
      <c r="G21">
        <v>45303</v>
      </c>
      <c r="H21" t="s">
        <v>5</v>
      </c>
      <c r="I21" s="3">
        <v>2094881</v>
      </c>
      <c r="J21" s="1" t="s">
        <v>41</v>
      </c>
      <c r="K21">
        <v>29222449</v>
      </c>
      <c r="L21">
        <v>2080642</v>
      </c>
      <c r="M21" t="s">
        <v>40</v>
      </c>
      <c r="N21">
        <v>51235040</v>
      </c>
      <c r="O21">
        <v>55479.45</v>
      </c>
      <c r="P21">
        <v>45303.750195891203</v>
      </c>
      <c r="Q21" t="s">
        <v>33</v>
      </c>
    </row>
    <row r="22" spans="1:17">
      <c r="A22">
        <v>579204</v>
      </c>
      <c r="B22" t="s">
        <v>7</v>
      </c>
      <c r="C22" t="s">
        <v>35</v>
      </c>
      <c r="D22">
        <v>110958.9</v>
      </c>
      <c r="E22">
        <v>0</v>
      </c>
      <c r="F22">
        <v>0</v>
      </c>
      <c r="G22">
        <v>45305</v>
      </c>
      <c r="H22" t="s">
        <v>5</v>
      </c>
      <c r="I22" s="3">
        <v>2080642</v>
      </c>
      <c r="J22" s="1" t="s">
        <v>40</v>
      </c>
      <c r="K22">
        <v>51235040</v>
      </c>
      <c r="L22">
        <v>2094881</v>
      </c>
      <c r="M22" t="s">
        <v>41</v>
      </c>
      <c r="N22">
        <v>29222449</v>
      </c>
      <c r="O22">
        <v>110958.9</v>
      </c>
      <c r="P22">
        <v>45305.750201678238</v>
      </c>
      <c r="Q22" t="s">
        <v>33</v>
      </c>
    </row>
    <row r="23" spans="1:17">
      <c r="A23">
        <v>578847</v>
      </c>
      <c r="B23" t="s">
        <v>4</v>
      </c>
      <c r="C23" t="s">
        <v>31</v>
      </c>
      <c r="D23">
        <v>250000000</v>
      </c>
      <c r="E23">
        <v>0</v>
      </c>
      <c r="F23">
        <v>0</v>
      </c>
      <c r="G23">
        <v>45306</v>
      </c>
      <c r="H23" t="s">
        <v>5</v>
      </c>
      <c r="I23" s="3">
        <v>2080641</v>
      </c>
      <c r="J23" s="1" t="s">
        <v>39</v>
      </c>
      <c r="K23">
        <v>20291000</v>
      </c>
      <c r="L23">
        <v>2080643</v>
      </c>
      <c r="M23" t="s">
        <v>38</v>
      </c>
      <c r="N23">
        <v>29222440</v>
      </c>
      <c r="O23">
        <v>250000000</v>
      </c>
      <c r="P23">
        <v>45306.750182025462</v>
      </c>
      <c r="Q23" t="s">
        <v>33</v>
      </c>
    </row>
    <row r="24" spans="1:17">
      <c r="A24">
        <v>578848</v>
      </c>
      <c r="B24" t="s">
        <v>4</v>
      </c>
      <c r="C24" t="s">
        <v>34</v>
      </c>
      <c r="D24">
        <v>166438.35999999999</v>
      </c>
      <c r="E24">
        <v>0</v>
      </c>
      <c r="F24">
        <v>0</v>
      </c>
      <c r="G24">
        <v>45306</v>
      </c>
      <c r="H24" t="s">
        <v>5</v>
      </c>
      <c r="I24" s="3">
        <v>2080641</v>
      </c>
      <c r="J24" s="1" t="s">
        <v>39</v>
      </c>
      <c r="K24">
        <v>20291000</v>
      </c>
      <c r="L24">
        <v>2080642</v>
      </c>
      <c r="M24" t="s">
        <v>40</v>
      </c>
      <c r="N24">
        <v>51235040</v>
      </c>
      <c r="O24">
        <v>166438.35999999999</v>
      </c>
      <c r="P24">
        <v>45306.750182280091</v>
      </c>
      <c r="Q24" t="s">
        <v>33</v>
      </c>
    </row>
    <row r="25" spans="1:17">
      <c r="A25">
        <v>579327</v>
      </c>
      <c r="B25" t="s">
        <v>7</v>
      </c>
      <c r="C25" t="s">
        <v>35</v>
      </c>
      <c r="D25">
        <v>166438.35999999999</v>
      </c>
      <c r="E25">
        <v>0</v>
      </c>
      <c r="F25">
        <v>0</v>
      </c>
      <c r="G25">
        <v>45306</v>
      </c>
      <c r="H25" t="s">
        <v>5</v>
      </c>
      <c r="I25" s="3">
        <v>2080642</v>
      </c>
      <c r="J25" s="1" t="s">
        <v>40</v>
      </c>
      <c r="K25">
        <v>51235040</v>
      </c>
      <c r="L25">
        <v>2094881</v>
      </c>
      <c r="M25" t="s">
        <v>41</v>
      </c>
      <c r="N25">
        <v>29222449</v>
      </c>
      <c r="O25">
        <v>166438.35999999999</v>
      </c>
      <c r="P25">
        <v>45306.750187361111</v>
      </c>
      <c r="Q25" t="s">
        <v>33</v>
      </c>
    </row>
    <row r="26" spans="1:17">
      <c r="A26">
        <v>579344</v>
      </c>
      <c r="B26" t="s">
        <v>4</v>
      </c>
      <c r="C26" t="s">
        <v>3</v>
      </c>
      <c r="D26">
        <v>250166432</v>
      </c>
      <c r="E26">
        <v>1623002</v>
      </c>
      <c r="F26">
        <v>0</v>
      </c>
      <c r="G26">
        <v>45306</v>
      </c>
      <c r="H26" t="s">
        <v>5</v>
      </c>
      <c r="I26" s="3">
        <v>2039960</v>
      </c>
      <c r="J26" s="1" t="s">
        <v>6</v>
      </c>
      <c r="K26">
        <v>20221200</v>
      </c>
      <c r="L26">
        <v>2080641</v>
      </c>
      <c r="M26" t="s">
        <v>32</v>
      </c>
      <c r="N26">
        <v>20291000</v>
      </c>
      <c r="O26">
        <v>250166432</v>
      </c>
      <c r="Q26" t="s">
        <v>4</v>
      </c>
    </row>
    <row r="27" spans="1:17">
      <c r="A27">
        <v>579083</v>
      </c>
      <c r="B27" t="s">
        <v>4</v>
      </c>
      <c r="C27" t="s">
        <v>3</v>
      </c>
      <c r="D27">
        <v>250000000</v>
      </c>
      <c r="E27">
        <v>1622911</v>
      </c>
      <c r="F27">
        <v>0</v>
      </c>
      <c r="G27">
        <v>45303</v>
      </c>
      <c r="H27" t="s">
        <v>5</v>
      </c>
      <c r="I27" s="3">
        <v>2080641</v>
      </c>
      <c r="J27" s="1" t="s">
        <v>32</v>
      </c>
      <c r="K27">
        <v>20291000</v>
      </c>
      <c r="L27">
        <v>2039960</v>
      </c>
      <c r="M27" t="s">
        <v>6</v>
      </c>
      <c r="N27">
        <v>20221200</v>
      </c>
      <c r="O27">
        <v>250000000</v>
      </c>
      <c r="Q27" t="s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3587-B823-3848-BE52-9664BA7E2829}">
  <dimension ref="A1:H7"/>
  <sheetViews>
    <sheetView showGridLines="0" workbookViewId="0">
      <selection activeCell="A7" sqref="A7"/>
    </sheetView>
  </sheetViews>
  <sheetFormatPr baseColWidth="10" defaultRowHeight="16"/>
  <cols>
    <col min="1" max="1" width="12.83203125" bestFit="1" customWidth="1"/>
    <col min="2" max="2" width="94.33203125" bestFit="1" customWidth="1"/>
    <col min="3" max="3" width="15" customWidth="1"/>
  </cols>
  <sheetData>
    <row r="1" spans="1:8">
      <c r="A1" t="s">
        <v>8</v>
      </c>
      <c r="B1" t="s">
        <v>9</v>
      </c>
      <c r="D1" t="s">
        <v>0</v>
      </c>
      <c r="E1" t="s">
        <v>2</v>
      </c>
      <c r="F1" t="s">
        <v>1</v>
      </c>
      <c r="G1" t="s">
        <v>10</v>
      </c>
      <c r="H1" t="s">
        <v>11</v>
      </c>
    </row>
    <row r="2" spans="1:8">
      <c r="A2">
        <v>2080643</v>
      </c>
      <c r="B2" t="s">
        <v>38</v>
      </c>
    </row>
    <row r="4" spans="1:8">
      <c r="A4">
        <v>2080641</v>
      </c>
      <c r="B4" t="s">
        <v>39</v>
      </c>
    </row>
    <row r="5" spans="1:8">
      <c r="A5">
        <v>2080642</v>
      </c>
      <c r="B5" t="s">
        <v>40</v>
      </c>
    </row>
    <row r="6" spans="1:8">
      <c r="A6">
        <v>2094881</v>
      </c>
      <c r="B6" t="s">
        <v>41</v>
      </c>
    </row>
    <row r="7" spans="1:8">
      <c r="A7">
        <v>2039960</v>
      </c>
      <c r="B7" t="s">
        <v>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ZR7BC22JZBTX37WA45HZN5JGI3OLQ5WZ:ms-officescript%3A%2F%2Fonedrive_business_sharinglink%2Fu!aHR0cHM6Ly9kaXNjb3ZlcnliYW5rMzY1LW15LnNoYXJlcG9pbnQuY29tLzp1Oi9nL3BlcnNvbmFsL3BpZXJyZW9vc3RodWl6ZW5fZGlzY292ZXJ5X2JhbmsvRVVuSVozMy13T2RQbHZVbVJ0eTRkdGtCVXNMYzY2Z0ZMRlgxX19MdlEwMUxIdw"/>
</scriptIds>
</file>

<file path=customXml/itemProps1.xml><?xml version="1.0" encoding="utf-8"?>
<ds:datastoreItem xmlns:ds="http://schemas.openxmlformats.org/officeDocument/2006/customXml" ds:itemID="{959B8486-629A-5B42-A8C8-D41093E4FB68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</vt:lpstr>
      <vt:lpstr>t_accounts</vt:lpstr>
      <vt:lpstr>settings</vt:lpstr>
      <vt:lpstr>postings_source</vt:lpstr>
      <vt:lpstr>reference_data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Oosthuizen</dc:creator>
  <cp:lastModifiedBy>Pierre Oosthuizen</cp:lastModifiedBy>
  <dcterms:created xsi:type="dcterms:W3CDTF">2024-01-17T09:12:51Z</dcterms:created>
  <dcterms:modified xsi:type="dcterms:W3CDTF">2024-02-06T08:20:50Z</dcterms:modified>
</cp:coreProperties>
</file>