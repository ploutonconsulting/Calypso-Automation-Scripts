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/>
  <mc:AlternateContent xmlns:mc="http://schemas.openxmlformats.org/markup-compatibility/2006">
    <mc:Choice Requires="x15">
      <x15ac:absPath xmlns:x15ac="http://schemas.microsoft.com/office/spreadsheetml/2010/11/ac" url="/Users/pierreoosthuizen/Development/Projects/plouton/clp_accounting_excel_scripts/excel_scripts/Automated Accounting Postings/"/>
    </mc:Choice>
  </mc:AlternateContent>
  <xr:revisionPtr revIDLastSave="0" documentId="8_{96E3D571-64AE-C643-8F72-33B6BBCAEA87}" xr6:coauthVersionLast="47" xr6:coauthVersionMax="47" xr10:uidLastSave="{00000000-0000-0000-0000-000000000000}"/>
  <bookViews>
    <workbookView xWindow="1540" yWindow="3200" windowWidth="33600" windowHeight="18400" xr2:uid="{69B0D6D4-DC49-2E45-A600-A62C5E051B66}"/>
  </bookViews>
  <sheets>
    <sheet name="t_accounts" sheetId="4" r:id="rId1"/>
    <sheet name="postings_source" sheetId="2" r:id="rId2"/>
    <sheet name="reference_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4" l="1"/>
  <c r="N14" i="4"/>
  <c r="N8" i="4"/>
  <c r="G59" i="4"/>
  <c r="G45" i="4"/>
  <c r="G31" i="4"/>
  <c r="G17" i="4"/>
</calcChain>
</file>

<file path=xl/sharedStrings.xml><?xml version="1.0" encoding="utf-8"?>
<sst xmlns="http://schemas.openxmlformats.org/spreadsheetml/2006/main" count="306" uniqueCount="49">
  <si>
    <t>Posting Id</t>
  </si>
  <si>
    <t>Event Type</t>
  </si>
  <si>
    <t>Effective Date</t>
  </si>
  <si>
    <t>NEW</t>
  </si>
  <si>
    <t>REVERSAL</t>
  </si>
  <si>
    <t>GLAccount</t>
  </si>
  <si>
    <t>Gl Account Name</t>
  </si>
  <si>
    <t>Debit</t>
  </si>
  <si>
    <t>Credit</t>
  </si>
  <si>
    <t>PostingId</t>
  </si>
  <si>
    <t>EffectiveDate</t>
  </si>
  <si>
    <t>EventType</t>
  </si>
  <si>
    <t>BO_POSTING_ID</t>
  </si>
  <si>
    <t>POSTING_TYPE</t>
  </si>
  <si>
    <t>BO_POSTING_TYPE</t>
  </si>
  <si>
    <t>AMOUNT</t>
  </si>
  <si>
    <t>TRANSFER_ID</t>
  </si>
  <si>
    <t>LINKED_ID</t>
  </si>
  <si>
    <t>EFFECTIVE_DATE</t>
  </si>
  <si>
    <t>CURRENCY_CODE</t>
  </si>
  <si>
    <t>DEBIT_CLP_ACCOUNT</t>
  </si>
  <si>
    <t>DEBIT_ACCOUNT_NAME</t>
  </si>
  <si>
    <t>DEBIT_GL_ACCOUNT</t>
  </si>
  <si>
    <t>CREDIT_CLP_ACCOUNT</t>
  </si>
  <si>
    <t>CREDIT_ACCOUNT_NAME</t>
  </si>
  <si>
    <t>CREDIT_GL_ACCOUNT</t>
  </si>
  <si>
    <t>SENT_DATE</t>
  </si>
  <si>
    <t>SENT_STATUS</t>
  </si>
  <si>
    <t>Treasury Own Funds</t>
  </si>
  <si>
    <t>PostingType</t>
  </si>
  <si>
    <t>Total</t>
  </si>
  <si>
    <t>MTM_NET</t>
  </si>
  <si>
    <t>PREM_DISC_AM</t>
  </si>
  <si>
    <t>ZAR</t>
  </si>
  <si>
    <t>NOM_CLEAN_TRADE</t>
  </si>
  <si>
    <t>2056346 - Treasury Own Funds</t>
  </si>
  <si>
    <t>FVH_TBILLS_Assets</t>
  </si>
  <si>
    <t>FVH_TBILLS_Ammort Discount</t>
  </si>
  <si>
    <t>FVH_TBILLS_Forward Reserve for MTM</t>
  </si>
  <si>
    <t>FVH_TBILLS_Interest Accrued</t>
  </si>
  <si>
    <t>CST_S_SETTLED</t>
  </si>
  <si>
    <t>SARB Settlement Trading</t>
  </si>
  <si>
    <t>2112485 - FVH_TBILLS_Assets</t>
  </si>
  <si>
    <t>2112481 - FVH_TBILLS_Forward Reserve for MTM</t>
  </si>
  <si>
    <t>2112492 - FVH_TBILLS_Ammort Discount</t>
  </si>
  <si>
    <t>2112491 - FVH_TBILLS_Interest Accrued</t>
  </si>
  <si>
    <t>2039960 - SARB Settlement Trading</t>
  </si>
  <si>
    <t>FVH_TBILLS_Shareholder Equity</t>
  </si>
  <si>
    <t>2112482 - FVH_TBILLS_Shareholder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</si>
</sst>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Aptos Narrow"/>
      <family val="2"/>
      <scheme val="minor"/>
    </font>
    <font>
      <sz val="12"/>
      <color rgb="FF0000FF"/>
      <name val="Menlo,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3" fontId="0" fillId="0" borderId="0" xfId="0" applyNumberFormat="1"/>
  </cellXfs>
  <cellStyles count="1">
    <cellStyle name="Normal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</dxf>
    <dxf>
      <numFmt numFmtId="1" formatCode="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114300</xdr:rowOff>
    </xdr:from>
    <xdr:to>
      <xdr:col>4</xdr:col>
      <xdr:colOff>406400</xdr:colOff>
      <xdr:row>2</xdr:row>
      <xdr:rowOff>88900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94DC4DA-1E82-D5F9-B05A-8710B3D8B1B7}"/>
            </a:ext>
          </a:extLst>
        </xdr:cNvPr>
        <xdr:cNvSpPr txBox="1"/>
      </xdr:nvSpPr>
      <xdr:spPr>
        <a:xfrm>
          <a:off x="889000" y="114300"/>
          <a:ext cx="3416300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800" b="1"/>
            <a:t>T-Bill (MTM)</a:t>
          </a:r>
        </a:p>
      </xdr:txBody>
    </xdr:sp>
    <xdr:clientData/>
  </xdr:twoCellAnchor>
  <xdr:twoCellAnchor>
    <xdr:from>
      <xdr:col>4</xdr:col>
      <xdr:colOff>127000</xdr:colOff>
      <xdr:row>0</xdr:row>
      <xdr:rowOff>165100</xdr:rowOff>
    </xdr:from>
    <xdr:to>
      <xdr:col>5</xdr:col>
      <xdr:colOff>317500</xdr:colOff>
      <xdr:row>2</xdr:row>
      <xdr:rowOff>50800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7DBD2D5D-A55A-8D4B-A172-0EBD6712978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pWU081LW5zbjlOdnFMMDVCUjZSQTBCRXhsV1FacnlfWVY2LUx3aHlrUm16Zw&quot;}"/>
            </a:ext>
          </a:extLst>
        </xdr:cNvPr>
        <xdr:cNvSpPr/>
      </xdr:nvSpPr>
      <xdr:spPr>
        <a:xfrm>
          <a:off x="4025900" y="165100"/>
          <a:ext cx="1231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ParsePostings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317500</xdr:colOff>
      <xdr:row>1</xdr:row>
      <xdr:rowOff>139700</xdr:rowOff>
    </xdr:from>
    <xdr:to>
      <xdr:col>2</xdr:col>
      <xdr:colOff>660400</xdr:colOff>
      <xdr:row>6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3C577C-DDEE-855A-A454-46DF17666DAC}"/>
            </a:ext>
          </a:extLst>
        </xdr:cNvPr>
        <xdr:cNvSpPr txBox="1"/>
      </xdr:nvSpPr>
      <xdr:spPr>
        <a:xfrm>
          <a:off x="317500" y="342900"/>
          <a:ext cx="2870200" cy="914400"/>
        </a:xfrm>
        <a:prstGeom prst="rect">
          <a:avLst/>
        </a:prstGeom>
        <a:ln w="25400" cap="rnd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rgbClr val="FF0000"/>
              </a:solidFill>
            </a:rPr>
            <a:t>This table must not</a:t>
          </a:r>
          <a:r>
            <a:rPr lang="en-GB" sz="1200" b="1" baseline="0">
              <a:solidFill>
                <a:srgbClr val="FF0000"/>
              </a:solidFill>
            </a:rPr>
            <a:t> be amended in any way other than removing and adding postings. The format is important to allow the script to parse postings correctly.</a:t>
          </a:r>
          <a:endParaRPr lang="en-GB" sz="1200" b="1">
            <a:solidFill>
              <a:srgbClr val="FF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9C0209-3BCC-6942-86B7-8C49259A52EF}" name="account_2112482" displayName="account_2112482" ref="B6:G17" totalsRowCount="1">
  <autoFilter ref="B6:G16" xr:uid="{EF9C0209-3BCC-6942-86B7-8C49259A52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7:G16">
    <sortCondition ref="C7:C16"/>
    <sortCondition ref="B7:B16"/>
  </sortState>
  <tableColumns count="6">
    <tableColumn id="1" xr3:uid="{D1924F30-3A9A-8147-898E-E860826C0B57}" name="PostingId" totalsRowLabel="Total"/>
    <tableColumn id="2" xr3:uid="{63A7160D-B410-8249-92ED-D7011D177608}" name="EffectiveDate"/>
    <tableColumn id="3" xr3:uid="{ABF64E8D-4215-CC4A-9588-FA1E63C9367D}" name="EventType"/>
    <tableColumn id="4" xr3:uid="{84C55C2B-E244-CA41-8BF8-D5AD2CA738F0}" name="PostingType"/>
    <tableColumn id="5" xr3:uid="{87F7E68B-F9CE-2644-BE7B-6FBCC5FE02E1}" name="Debit" dataDxfId="30" totalsRowDxfId="29"/>
    <tableColumn id="6" xr3:uid="{BCD5EB1A-DECF-1C44-8A1B-7100B9D25B4E}" name="Credit" totalsRowFunction="custom" dataDxfId="28" totalsRowDxfId="27">
      <totalsRowFormula>SUM(account_2112482[Debit])-SUM(account_2112482[Credit])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C8CC4D-C076-8547-9DAC-3CA68CB23583}" name="account_2112481" displayName="account_2112481" ref="B20:G31" totalsRowCount="1">
  <autoFilter ref="B20:G30" xr:uid="{B5C8CC4D-C076-8547-9DAC-3CA68CB235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21:G30">
    <sortCondition ref="C21:C30"/>
    <sortCondition ref="B21:B30"/>
  </sortState>
  <tableColumns count="6">
    <tableColumn id="1" xr3:uid="{C6DC2045-5DCE-0241-9F7B-072D44F74A10}" name="PostingId" totalsRowLabel="Total"/>
    <tableColumn id="2" xr3:uid="{D8C8A872-282B-4749-B2F9-ADC3A13F0441}" name="EffectiveDate"/>
    <tableColumn id="3" xr3:uid="{FFF8C62B-2D9B-FD4A-836E-6EA05CC204DA}" name="EventType"/>
    <tableColumn id="4" xr3:uid="{4A892F6A-FEC7-F246-A04F-7072565F201B}" name="PostingType"/>
    <tableColumn id="5" xr3:uid="{58348FD9-A646-434E-A911-2025F4B8EAB4}" name="Debit" dataDxfId="26" totalsRowDxfId="25"/>
    <tableColumn id="6" xr3:uid="{09A7D8B3-BCC8-6E49-B524-17ED89188BE3}" name="Credit" totalsRowFunction="custom" dataDxfId="24" totalsRowDxfId="23">
      <totalsRowFormula>SUM(account_2112481[Debit])-SUM(account_2112481[Credit])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6F3030-A976-594D-84FA-2E073FA319E8}" name="account_2112491" displayName="account_2112491" ref="B34:G45" totalsRowCount="1">
  <autoFilter ref="B34:G44" xr:uid="{886F3030-A976-594D-84FA-2E073FA319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35:G44">
    <sortCondition ref="C35:C44"/>
    <sortCondition ref="B35:B44"/>
  </sortState>
  <tableColumns count="6">
    <tableColumn id="1" xr3:uid="{4E2C34C8-5564-8C4B-9ABC-64A388E3CAC2}" name="PostingId" totalsRowLabel="Total"/>
    <tableColumn id="2" xr3:uid="{5C6BDB36-5CB4-7D4C-903E-44F763EBC554}" name="EffectiveDate"/>
    <tableColumn id="3" xr3:uid="{1B943378-B16D-044F-B6D8-FD14842030DD}" name="EventType"/>
    <tableColumn id="4" xr3:uid="{145C1293-1E99-C346-98FD-9FF3DF6A6D62}" name="PostingType"/>
    <tableColumn id="5" xr3:uid="{9170FD44-99DA-364D-8A96-59506394B892}" name="Debit" dataDxfId="22" totalsRowDxfId="21"/>
    <tableColumn id="6" xr3:uid="{9DFED8C4-FFFC-8F4B-91D4-6850827F3EA5}" name="Credit" totalsRowFunction="custom" dataDxfId="20" totalsRowDxfId="19">
      <totalsRowFormula>SUM(account_2112491[Debit])-SUM(account_2112491[Credit])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E6D3DA-2C3E-FA41-ADF9-D227F896F762}" name="account_2112492" displayName="account_2112492" ref="B48:G59" totalsRowCount="1">
  <autoFilter ref="B48:G58" xr:uid="{CEE6D3DA-2C3E-FA41-ADF9-D227F896F7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49:G58">
    <sortCondition ref="C49:C58"/>
    <sortCondition ref="B49:B58"/>
  </sortState>
  <tableColumns count="6">
    <tableColumn id="1" xr3:uid="{1F5C59BB-3E27-4B42-B649-DDE37D32A391}" name="PostingId" totalsRowLabel="Total"/>
    <tableColumn id="2" xr3:uid="{E07CD50F-3847-744C-9B3B-CC3586D24BAA}" name="EffectiveDate"/>
    <tableColumn id="3" xr3:uid="{43894EE3-8FD2-B34D-ABC6-B2264F64EFF4}" name="EventType"/>
    <tableColumn id="4" xr3:uid="{B18E348C-FBE4-BE40-A3A3-FD27BFD33C4E}" name="PostingType"/>
    <tableColumn id="5" xr3:uid="{75D01C00-2779-204A-AE30-175FB1A24DA0}" name="Debit" dataDxfId="18" totalsRowDxfId="17"/>
    <tableColumn id="6" xr3:uid="{37314752-A8B2-364F-94AC-70D35228E2EF}" name="Credit" totalsRowFunction="custom" dataDxfId="16" totalsRowDxfId="15">
      <totalsRowFormula>SUM(account_2112492[Debit])-SUM(account_2112492[Credit])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07929DF-E8EE-9D40-BDC8-946FA1702B22}" name="account_2112485" displayName="account_2112485" ref="I6:N8" totalsRowCount="1">
  <autoFilter ref="I6:N7" xr:uid="{407929DF-E8EE-9D40-BDC8-946FA1702B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7:N7">
    <sortCondition ref="J7"/>
    <sortCondition ref="I7"/>
  </sortState>
  <tableColumns count="6">
    <tableColumn id="1" xr3:uid="{D7076C5B-CB68-6D40-961B-C49E5CFC1AF8}" name="PostingId" totalsRowLabel="Total"/>
    <tableColumn id="2" xr3:uid="{F0066CFB-3AFB-5744-BAE9-25BED9EF1D0A}" name="EffectiveDate"/>
    <tableColumn id="3" xr3:uid="{7058C7AB-CCD4-3147-AEE6-F16BA5495A70}" name="EventType"/>
    <tableColumn id="4" xr3:uid="{C8FB06D4-997C-9C45-BD6C-DE9CCB3FB074}" name="PostingType"/>
    <tableColumn id="5" xr3:uid="{92032AA5-F0DF-7D41-A65B-C849FB9C3B76}" name="Debit" dataDxfId="14" totalsRowDxfId="13"/>
    <tableColumn id="6" xr3:uid="{EFBCC2BA-2E99-EF4E-BB75-E7D071C591DE}" name="Credit" totalsRowFunction="custom" dataDxfId="12" totalsRowDxfId="11">
      <totalsRowFormula>SUM(account_2112485[Debit])-SUM(account_2112485[Credit])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A940D9-2154-0C45-82AE-DD942AE99E53}" name="account_2056346" displayName="account_2056346" ref="I11:N14" totalsRowCount="1">
  <autoFilter ref="I11:N13" xr:uid="{69A940D9-2154-0C45-82AE-DD942AE99E5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12:N13">
    <sortCondition ref="J12:J13"/>
    <sortCondition ref="I12:I13"/>
  </sortState>
  <tableColumns count="6">
    <tableColumn id="1" xr3:uid="{71B51ADF-479B-7148-9779-F984E7479BCC}" name="PostingId" totalsRowLabel="Total"/>
    <tableColumn id="2" xr3:uid="{8EF545A6-8CC6-6B43-AC5C-E4108FADF2C9}" name="EffectiveDate"/>
    <tableColumn id="3" xr3:uid="{31AD1A40-B807-B749-A086-C560D0D3FEE9}" name="EventType"/>
    <tableColumn id="4" xr3:uid="{AC005A17-E34A-9643-962E-F339C18927D6}" name="PostingType"/>
    <tableColumn id="5" xr3:uid="{9AD88F8A-6EDA-B642-8888-8C07B56D1DEF}" name="Debit" dataDxfId="10" totalsRowDxfId="9"/>
    <tableColumn id="6" xr3:uid="{266C241F-7BBA-C34A-8A76-F58732FBFC24}" name="Credit" totalsRowFunction="custom" dataDxfId="8" totalsRowDxfId="7">
      <totalsRowFormula>SUM(account_2056346[Debit])-SUM(account_2056346[Credit])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A820CD9-A746-B749-AA44-CF5CA0BB8A08}" name="account_2039960" displayName="account_2039960" ref="I17:N19" totalsRowCount="1">
  <autoFilter ref="I17:N18" xr:uid="{DA820CD9-A746-B749-AA44-CF5CA0BB8A0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18:N18">
    <sortCondition ref="J18"/>
    <sortCondition ref="I18"/>
  </sortState>
  <tableColumns count="6">
    <tableColumn id="1" xr3:uid="{1BADF6F5-F7CD-B14F-9615-D824FF0CA2AC}" name="PostingId" totalsRowLabel="Total"/>
    <tableColumn id="2" xr3:uid="{96A32322-10E4-9447-8E4B-9E42F093CA3C}" name="EffectiveDate"/>
    <tableColumn id="3" xr3:uid="{F54B1E22-17C8-E141-A0E1-FA56599BC345}" name="EventType"/>
    <tableColumn id="4" xr3:uid="{34E4356B-787A-2447-8CD2-DD9C5804ADBC}" name="PostingType"/>
    <tableColumn id="5" xr3:uid="{53906D7E-FD46-1545-B575-EE3DCE562C19}" name="Debit" dataDxfId="6" totalsRowDxfId="5"/>
    <tableColumn id="6" xr3:uid="{48BA0367-A9A1-0D44-8FFF-649C9B857D31}" name="Credit" totalsRowFunction="custom" dataDxfId="4" totalsRowDxfId="3">
      <totalsRowFormula>SUM(account_2039960[Debit])-SUM(account_2039960[Credit])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F8140-4167-8C4F-8473-661AF6909159}" name="postings_source" displayName="postings_source" ref="A10:P32" totalsRowShown="0">
  <autoFilter ref="A10:P32" xr:uid="{830F8140-4167-8C4F-8473-661AF6909159}"/>
  <sortState xmlns:xlrd2="http://schemas.microsoft.com/office/spreadsheetml/2017/richdata2" ref="A11:P32">
    <sortCondition ref="G10:G32"/>
  </sortState>
  <tableColumns count="16">
    <tableColumn id="1" xr3:uid="{A4ECE6A9-4274-FC43-84CE-069794FDFC82}" name="BO_POSTING_ID"/>
    <tableColumn id="2" xr3:uid="{9389BC11-5FFB-A84A-AB80-05CB7E5F79A7}" name="POSTING_TYPE"/>
    <tableColumn id="3" xr3:uid="{C12A8276-6941-E045-BD14-48A718425163}" name="BO_POSTING_TYPE"/>
    <tableColumn id="4" xr3:uid="{7666DF6A-5A31-2F43-8856-12D6C629422A}" name="AMOUNT"/>
    <tableColumn id="5" xr3:uid="{B35D2CCA-8453-FA49-B56C-17992D718EB2}" name="TRANSFER_ID"/>
    <tableColumn id="6" xr3:uid="{FCDF5C5A-9C9B-384F-B955-83A0094CA214}" name="LINKED_ID"/>
    <tableColumn id="7" xr3:uid="{0B543AE7-BFCF-3D4D-B279-003BCA94C0B7}" name="EFFECTIVE_DATE" dataDxfId="2"/>
    <tableColumn id="8" xr3:uid="{F04ADDA0-4E0D-0341-A792-220DD2AAFB4D}" name="CURRENCY_CODE"/>
    <tableColumn id="9" xr3:uid="{78955310-67ED-6F47-8196-A2F67DD69518}" name="DEBIT_CLP_ACCOUNT" dataDxfId="1"/>
    <tableColumn id="10" xr3:uid="{6B1D90D1-B766-F944-BFE6-3D1BE258F3BC}" name="DEBIT_ACCOUNT_NAME" dataDxfId="0"/>
    <tableColumn id="11" xr3:uid="{BA0B5C26-80D2-7B47-8A54-A35154763A91}" name="DEBIT_GL_ACCOUNT"/>
    <tableColumn id="13" xr3:uid="{7AD4C9F9-A7A6-544D-B9C7-F0737384C014}" name="CREDIT_CLP_ACCOUNT"/>
    <tableColumn id="12" xr3:uid="{DFFFFDD8-7113-E64C-B8BC-94BA2A0D34DD}" name="CREDIT_ACCOUNT_NAME"/>
    <tableColumn id="17" xr3:uid="{DE8F7314-4BD6-C040-8DAA-4212C758A833}" name="CREDIT_GL_ACCOUNT"/>
    <tableColumn id="16" xr3:uid="{DA3225A5-D923-664D-B541-87C465B7468C}" name="SENT_DATE"/>
    <tableColumn id="15" xr3:uid="{FDD857D0-0208-034C-939C-24434E1F906D}" name="SENT_STATUS"/>
  </tableColumns>
  <tableStyleInfo name="TableStyleLight1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1286EF-619A-664A-95E0-6774C5F70921}" name="accounts" displayName="accounts" ref="A1:B8" totalsRowShown="0">
  <autoFilter ref="A1:B8" xr:uid="{A61286EF-619A-664A-95E0-6774C5F70921}"/>
  <tableColumns count="2">
    <tableColumn id="1" xr3:uid="{94350CB3-8AD4-384C-BEA0-64A89AC1AF84}" name="GLAccount"/>
    <tableColumn id="2" xr3:uid="{1DB7413E-4CEA-654E-990A-3CF8BCB07257}" name="Gl Account Name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C5EF-32E0-574E-A721-C7098BE9A2F5}">
  <dimension ref="B5:N749"/>
  <sheetViews>
    <sheetView showGridLines="0" tabSelected="1" workbookViewId="0">
      <selection activeCell="K23" sqref="K23"/>
    </sheetView>
  </sheetViews>
  <sheetFormatPr baseColWidth="10" defaultRowHeight="16"/>
  <cols>
    <col min="1" max="2" width="11" customWidth="1"/>
    <col min="3" max="3" width="12.5" bestFit="1" customWidth="1"/>
    <col min="4" max="4" width="16.6640625" bestFit="1" customWidth="1"/>
    <col min="5" max="6" width="13.6640625" bestFit="1" customWidth="1"/>
    <col min="7" max="8" width="11" customWidth="1"/>
    <col min="9" max="9" width="12.5" bestFit="1" customWidth="1"/>
    <col min="10" max="10" width="13.83203125" bestFit="1" customWidth="1"/>
    <col min="11" max="11" width="16" bestFit="1" customWidth="1"/>
    <col min="12" max="13" width="11" customWidth="1"/>
    <col min="14" max="14" width="11.83203125" bestFit="1" customWidth="1"/>
  </cols>
  <sheetData>
    <row r="5" spans="2:14">
      <c r="B5" t="s">
        <v>48</v>
      </c>
      <c r="I5" t="s">
        <v>42</v>
      </c>
    </row>
    <row r="6" spans="2:14">
      <c r="B6" t="s">
        <v>9</v>
      </c>
      <c r="C6" t="s">
        <v>10</v>
      </c>
      <c r="D6" t="s">
        <v>11</v>
      </c>
      <c r="E6" t="s">
        <v>29</v>
      </c>
      <c r="F6" s="2" t="s">
        <v>7</v>
      </c>
      <c r="G6" s="2" t="s">
        <v>8</v>
      </c>
      <c r="I6" t="s">
        <v>9</v>
      </c>
      <c r="J6" t="s">
        <v>10</v>
      </c>
      <c r="K6" t="s">
        <v>11</v>
      </c>
      <c r="L6" t="s">
        <v>29</v>
      </c>
      <c r="M6" s="2" t="s">
        <v>7</v>
      </c>
      <c r="N6" s="2" t="s">
        <v>8</v>
      </c>
    </row>
    <row r="7" spans="2:14">
      <c r="B7">
        <v>530877</v>
      </c>
      <c r="C7">
        <v>20240429</v>
      </c>
      <c r="D7" t="s">
        <v>31</v>
      </c>
      <c r="E7" t="s">
        <v>3</v>
      </c>
      <c r="F7" s="2">
        <v>331180.59999999998</v>
      </c>
      <c r="G7" s="2"/>
      <c r="I7">
        <v>530872</v>
      </c>
      <c r="J7">
        <v>20240429</v>
      </c>
      <c r="K7" t="s">
        <v>34</v>
      </c>
      <c r="L7" t="s">
        <v>3</v>
      </c>
      <c r="M7" s="2">
        <v>92796200</v>
      </c>
      <c r="N7" s="2"/>
    </row>
    <row r="8" spans="2:14">
      <c r="B8">
        <v>530876</v>
      </c>
      <c r="C8">
        <v>20240430</v>
      </c>
      <c r="D8" t="s">
        <v>31</v>
      </c>
      <c r="E8" t="s">
        <v>4</v>
      </c>
      <c r="F8" s="2"/>
      <c r="G8" s="2">
        <v>331180.59999999998</v>
      </c>
      <c r="I8" t="s">
        <v>30</v>
      </c>
      <c r="M8" s="2"/>
      <c r="N8" s="2">
        <f>SUM(account_2112485[Debit])-SUM(account_2112485[Credit])</f>
        <v>92796200</v>
      </c>
    </row>
    <row r="9" spans="2:14">
      <c r="B9">
        <v>530881</v>
      </c>
      <c r="C9">
        <v>20240430</v>
      </c>
      <c r="D9" t="s">
        <v>31</v>
      </c>
      <c r="E9" t="s">
        <v>3</v>
      </c>
      <c r="F9" s="2">
        <v>348861.16</v>
      </c>
      <c r="G9" s="2"/>
    </row>
    <row r="10" spans="2:14">
      <c r="B10">
        <v>530880</v>
      </c>
      <c r="C10">
        <v>20240501</v>
      </c>
      <c r="D10" t="s">
        <v>31</v>
      </c>
      <c r="E10" t="s">
        <v>4</v>
      </c>
      <c r="F10" s="2"/>
      <c r="G10" s="2">
        <v>348861.16</v>
      </c>
      <c r="I10" t="s">
        <v>35</v>
      </c>
    </row>
    <row r="11" spans="2:14">
      <c r="B11">
        <v>530885</v>
      </c>
      <c r="C11">
        <v>20240501</v>
      </c>
      <c r="D11" t="s">
        <v>31</v>
      </c>
      <c r="E11" t="s">
        <v>3</v>
      </c>
      <c r="F11" s="2">
        <v>332241.75</v>
      </c>
      <c r="G11" s="2"/>
      <c r="I11" t="s">
        <v>9</v>
      </c>
      <c r="J11" t="s">
        <v>10</v>
      </c>
      <c r="K11" t="s">
        <v>11</v>
      </c>
      <c r="L11" t="s">
        <v>29</v>
      </c>
      <c r="M11" s="2" t="s">
        <v>7</v>
      </c>
      <c r="N11" s="2" t="s">
        <v>8</v>
      </c>
    </row>
    <row r="12" spans="2:14">
      <c r="B12">
        <v>530884</v>
      </c>
      <c r="C12">
        <v>20240502</v>
      </c>
      <c r="D12" t="s">
        <v>31</v>
      </c>
      <c r="E12" t="s">
        <v>4</v>
      </c>
      <c r="F12" s="2"/>
      <c r="G12" s="2">
        <v>332241.75</v>
      </c>
      <c r="I12">
        <v>530872</v>
      </c>
      <c r="J12">
        <v>20240429</v>
      </c>
      <c r="K12" t="s">
        <v>34</v>
      </c>
      <c r="L12" t="s">
        <v>3</v>
      </c>
      <c r="M12" s="2"/>
      <c r="N12" s="2">
        <v>92796200</v>
      </c>
    </row>
    <row r="13" spans="2:14">
      <c r="B13">
        <v>530889</v>
      </c>
      <c r="C13">
        <v>20240502</v>
      </c>
      <c r="D13" t="s">
        <v>31</v>
      </c>
      <c r="E13" t="s">
        <v>3</v>
      </c>
      <c r="F13" s="2">
        <v>317822.3</v>
      </c>
      <c r="G13" s="2"/>
      <c r="I13">
        <v>530873</v>
      </c>
      <c r="J13">
        <v>20240507</v>
      </c>
      <c r="K13" t="s">
        <v>40</v>
      </c>
      <c r="L13" t="s">
        <v>3</v>
      </c>
      <c r="M13" s="2">
        <v>92796200</v>
      </c>
      <c r="N13" s="2"/>
    </row>
    <row r="14" spans="2:14">
      <c r="B14">
        <v>530888</v>
      </c>
      <c r="C14">
        <v>20240503</v>
      </c>
      <c r="D14" t="s">
        <v>31</v>
      </c>
      <c r="E14" t="s">
        <v>4</v>
      </c>
      <c r="F14" s="2"/>
      <c r="G14" s="2">
        <v>317822.3</v>
      </c>
      <c r="I14" t="s">
        <v>30</v>
      </c>
      <c r="M14" s="2"/>
      <c r="N14" s="2">
        <f>SUM(account_2056346[Debit])-SUM(account_2056346[Credit])</f>
        <v>0</v>
      </c>
    </row>
    <row r="15" spans="2:14">
      <c r="B15">
        <v>530893</v>
      </c>
      <c r="C15">
        <v>20240503</v>
      </c>
      <c r="D15" t="s">
        <v>31</v>
      </c>
      <c r="E15" t="s">
        <v>3</v>
      </c>
      <c r="F15" s="2">
        <v>304802.90000000002</v>
      </c>
      <c r="G15" s="2"/>
    </row>
    <row r="16" spans="2:14">
      <c r="B16">
        <v>530892</v>
      </c>
      <c r="C16">
        <v>20240504</v>
      </c>
      <c r="D16" t="s">
        <v>31</v>
      </c>
      <c r="E16" t="s">
        <v>4</v>
      </c>
      <c r="F16" s="2"/>
      <c r="G16" s="2">
        <v>304802.90000000002</v>
      </c>
      <c r="I16" t="s">
        <v>46</v>
      </c>
    </row>
    <row r="17" spans="2:14">
      <c r="B17" t="s">
        <v>30</v>
      </c>
      <c r="F17" s="2"/>
      <c r="G17" s="2">
        <f>SUM(account_2112482[Debit])-SUM(account_2112482[Credit])</f>
        <v>0</v>
      </c>
      <c r="I17" t="s">
        <v>9</v>
      </c>
      <c r="J17" t="s">
        <v>10</v>
      </c>
      <c r="K17" t="s">
        <v>11</v>
      </c>
      <c r="L17" t="s">
        <v>29</v>
      </c>
      <c r="M17" s="2" t="s">
        <v>7</v>
      </c>
      <c r="N17" s="2" t="s">
        <v>8</v>
      </c>
    </row>
    <row r="18" spans="2:14">
      <c r="I18">
        <v>530873</v>
      </c>
      <c r="J18">
        <v>20240507</v>
      </c>
      <c r="K18" t="s">
        <v>40</v>
      </c>
      <c r="L18" t="s">
        <v>3</v>
      </c>
      <c r="M18" s="2"/>
      <c r="N18" s="2">
        <v>92796200</v>
      </c>
    </row>
    <row r="19" spans="2:14">
      <c r="B19" t="s">
        <v>43</v>
      </c>
      <c r="I19" t="s">
        <v>30</v>
      </c>
      <c r="M19" s="2"/>
      <c r="N19" s="2">
        <f>SUM(account_2039960[Debit])-SUM(account_2039960[Credit])</f>
        <v>-92796200</v>
      </c>
    </row>
    <row r="20" spans="2:14">
      <c r="B20" t="s">
        <v>9</v>
      </c>
      <c r="C20" t="s">
        <v>10</v>
      </c>
      <c r="D20" t="s">
        <v>11</v>
      </c>
      <c r="E20" t="s">
        <v>29</v>
      </c>
      <c r="F20" s="2" t="s">
        <v>7</v>
      </c>
      <c r="G20" s="2" t="s">
        <v>8</v>
      </c>
    </row>
    <row r="21" spans="2:14">
      <c r="B21">
        <v>530877</v>
      </c>
      <c r="C21">
        <v>20240429</v>
      </c>
      <c r="D21" t="s">
        <v>31</v>
      </c>
      <c r="E21" t="s">
        <v>3</v>
      </c>
      <c r="F21" s="2"/>
      <c r="G21" s="2">
        <v>331180.59999999998</v>
      </c>
    </row>
    <row r="22" spans="2:14">
      <c r="B22">
        <v>530876</v>
      </c>
      <c r="C22">
        <v>20240430</v>
      </c>
      <c r="D22" t="s">
        <v>31</v>
      </c>
      <c r="E22" t="s">
        <v>4</v>
      </c>
      <c r="F22" s="2">
        <v>331180.59999999998</v>
      </c>
      <c r="G22" s="2"/>
    </row>
    <row r="23" spans="2:14">
      <c r="B23">
        <v>530881</v>
      </c>
      <c r="C23">
        <v>20240430</v>
      </c>
      <c r="D23" t="s">
        <v>31</v>
      </c>
      <c r="E23" t="s">
        <v>3</v>
      </c>
      <c r="F23" s="2"/>
      <c r="G23" s="2">
        <v>348861.16</v>
      </c>
    </row>
    <row r="24" spans="2:14">
      <c r="B24">
        <v>530880</v>
      </c>
      <c r="C24">
        <v>20240501</v>
      </c>
      <c r="D24" t="s">
        <v>31</v>
      </c>
      <c r="E24" t="s">
        <v>4</v>
      </c>
      <c r="F24" s="2">
        <v>348861.16</v>
      </c>
      <c r="G24" s="2"/>
    </row>
    <row r="25" spans="2:14">
      <c r="B25">
        <v>530885</v>
      </c>
      <c r="C25">
        <v>20240501</v>
      </c>
      <c r="D25" t="s">
        <v>31</v>
      </c>
      <c r="E25" t="s">
        <v>3</v>
      </c>
      <c r="F25" s="2"/>
      <c r="G25" s="2">
        <v>332241.75</v>
      </c>
    </row>
    <row r="26" spans="2:14">
      <c r="B26">
        <v>530884</v>
      </c>
      <c r="C26">
        <v>20240502</v>
      </c>
      <c r="D26" t="s">
        <v>31</v>
      </c>
      <c r="E26" t="s">
        <v>4</v>
      </c>
      <c r="F26" s="2">
        <v>332241.75</v>
      </c>
      <c r="G26" s="2"/>
    </row>
    <row r="27" spans="2:14">
      <c r="B27">
        <v>530889</v>
      </c>
      <c r="C27">
        <v>20240502</v>
      </c>
      <c r="D27" t="s">
        <v>31</v>
      </c>
      <c r="E27" t="s">
        <v>3</v>
      </c>
      <c r="F27" s="2"/>
      <c r="G27" s="2">
        <v>317822.3</v>
      </c>
    </row>
    <row r="28" spans="2:14">
      <c r="B28">
        <v>530888</v>
      </c>
      <c r="C28">
        <v>20240503</v>
      </c>
      <c r="D28" t="s">
        <v>31</v>
      </c>
      <c r="E28" t="s">
        <v>4</v>
      </c>
      <c r="F28" s="2">
        <v>317822.3</v>
      </c>
      <c r="G28" s="2"/>
    </row>
    <row r="29" spans="2:14">
      <c r="B29">
        <v>530893</v>
      </c>
      <c r="C29">
        <v>20240503</v>
      </c>
      <c r="D29" t="s">
        <v>31</v>
      </c>
      <c r="E29" t="s">
        <v>3</v>
      </c>
      <c r="F29" s="2"/>
      <c r="G29" s="2">
        <v>304802.90000000002</v>
      </c>
    </row>
    <row r="30" spans="2:14">
      <c r="B30">
        <v>530892</v>
      </c>
      <c r="C30">
        <v>20240504</v>
      </c>
      <c r="D30" t="s">
        <v>31</v>
      </c>
      <c r="E30" t="s">
        <v>4</v>
      </c>
      <c r="F30" s="2">
        <v>304802.90000000002</v>
      </c>
      <c r="G30" s="2"/>
    </row>
    <row r="31" spans="2:14">
      <c r="B31" t="s">
        <v>30</v>
      </c>
      <c r="F31" s="2"/>
      <c r="G31" s="2">
        <f>SUM(account_2112481[Debit])-SUM(account_2112481[Credit])</f>
        <v>0</v>
      </c>
    </row>
    <row r="33" spans="2:7">
      <c r="B33" t="s">
        <v>45</v>
      </c>
    </row>
    <row r="34" spans="2:7">
      <c r="B34" t="s">
        <v>9</v>
      </c>
      <c r="C34" t="s">
        <v>10</v>
      </c>
      <c r="D34" t="s">
        <v>11</v>
      </c>
      <c r="E34" t="s">
        <v>29</v>
      </c>
      <c r="F34" s="2" t="s">
        <v>7</v>
      </c>
      <c r="G34" s="2" t="s">
        <v>8</v>
      </c>
    </row>
    <row r="35" spans="2:7">
      <c r="B35">
        <v>530875</v>
      </c>
      <c r="C35">
        <v>20240429</v>
      </c>
      <c r="D35" t="s">
        <v>32</v>
      </c>
      <c r="E35" t="s">
        <v>3</v>
      </c>
      <c r="F35" s="2">
        <v>20880.580000000002</v>
      </c>
      <c r="G35" s="2"/>
    </row>
    <row r="36" spans="2:7">
      <c r="B36">
        <v>530874</v>
      </c>
      <c r="C36">
        <v>20240430</v>
      </c>
      <c r="D36" t="s">
        <v>32</v>
      </c>
      <c r="E36" t="s">
        <v>4</v>
      </c>
      <c r="F36" s="2"/>
      <c r="G36" s="2">
        <v>20880.580000000002</v>
      </c>
    </row>
    <row r="37" spans="2:7">
      <c r="B37">
        <v>530879</v>
      </c>
      <c r="C37">
        <v>20240430</v>
      </c>
      <c r="D37" t="s">
        <v>32</v>
      </c>
      <c r="E37" t="s">
        <v>3</v>
      </c>
      <c r="F37" s="2">
        <v>41761.160000000003</v>
      </c>
      <c r="G37" s="2"/>
    </row>
    <row r="38" spans="2:7">
      <c r="B38">
        <v>530878</v>
      </c>
      <c r="C38">
        <v>20240501</v>
      </c>
      <c r="D38" t="s">
        <v>32</v>
      </c>
      <c r="E38" t="s">
        <v>4</v>
      </c>
      <c r="F38" s="2"/>
      <c r="G38" s="2">
        <v>41761.160000000003</v>
      </c>
    </row>
    <row r="39" spans="2:7">
      <c r="B39">
        <v>530883</v>
      </c>
      <c r="C39">
        <v>20240501</v>
      </c>
      <c r="D39" t="s">
        <v>32</v>
      </c>
      <c r="E39" t="s">
        <v>3</v>
      </c>
      <c r="F39" s="2">
        <v>62641.74</v>
      </c>
      <c r="G39" s="2"/>
    </row>
    <row r="40" spans="2:7">
      <c r="B40">
        <v>530882</v>
      </c>
      <c r="C40">
        <v>20240502</v>
      </c>
      <c r="D40" t="s">
        <v>32</v>
      </c>
      <c r="E40" t="s">
        <v>4</v>
      </c>
      <c r="F40" s="2"/>
      <c r="G40" s="2">
        <v>62641.74</v>
      </c>
    </row>
    <row r="41" spans="2:7">
      <c r="B41">
        <v>530887</v>
      </c>
      <c r="C41">
        <v>20240502</v>
      </c>
      <c r="D41" t="s">
        <v>32</v>
      </c>
      <c r="E41" t="s">
        <v>3</v>
      </c>
      <c r="F41" s="2">
        <v>83522.320000000007</v>
      </c>
      <c r="G41" s="2"/>
    </row>
    <row r="42" spans="2:7">
      <c r="B42">
        <v>530886</v>
      </c>
      <c r="C42">
        <v>20240503</v>
      </c>
      <c r="D42" t="s">
        <v>32</v>
      </c>
      <c r="E42" t="s">
        <v>4</v>
      </c>
      <c r="F42" s="2"/>
      <c r="G42" s="2">
        <v>83522.320000000007</v>
      </c>
    </row>
    <row r="43" spans="2:7">
      <c r="B43">
        <v>530891</v>
      </c>
      <c r="C43">
        <v>20240503</v>
      </c>
      <c r="D43" t="s">
        <v>32</v>
      </c>
      <c r="E43" t="s">
        <v>3</v>
      </c>
      <c r="F43" s="2">
        <v>104402.9</v>
      </c>
      <c r="G43" s="2"/>
    </row>
    <row r="44" spans="2:7">
      <c r="B44">
        <v>530890</v>
      </c>
      <c r="C44">
        <v>20240504</v>
      </c>
      <c r="D44" t="s">
        <v>32</v>
      </c>
      <c r="E44" t="s">
        <v>4</v>
      </c>
      <c r="F44" s="2"/>
      <c r="G44" s="2">
        <v>104402.9</v>
      </c>
    </row>
    <row r="45" spans="2:7">
      <c r="B45" t="s">
        <v>30</v>
      </c>
      <c r="F45" s="2"/>
      <c r="G45" s="2">
        <f>SUM(account_2112491[Debit])-SUM(account_2112491[Credit])</f>
        <v>0</v>
      </c>
    </row>
    <row r="47" spans="2:7">
      <c r="B47" t="s">
        <v>44</v>
      </c>
    </row>
    <row r="48" spans="2:7">
      <c r="B48" t="s">
        <v>9</v>
      </c>
      <c r="C48" t="s">
        <v>10</v>
      </c>
      <c r="D48" t="s">
        <v>11</v>
      </c>
      <c r="E48" t="s">
        <v>29</v>
      </c>
      <c r="F48" s="2" t="s">
        <v>7</v>
      </c>
      <c r="G48" s="2" t="s">
        <v>8</v>
      </c>
    </row>
    <row r="49" spans="2:7">
      <c r="B49">
        <v>530875</v>
      </c>
      <c r="C49">
        <v>20240429</v>
      </c>
      <c r="D49" t="s">
        <v>32</v>
      </c>
      <c r="E49" t="s">
        <v>3</v>
      </c>
      <c r="F49" s="2"/>
      <c r="G49" s="2">
        <v>20880.580000000002</v>
      </c>
    </row>
    <row r="50" spans="2:7">
      <c r="B50">
        <v>530874</v>
      </c>
      <c r="C50">
        <v>20240430</v>
      </c>
      <c r="D50" t="s">
        <v>32</v>
      </c>
      <c r="E50" t="s">
        <v>4</v>
      </c>
      <c r="F50" s="2">
        <v>20880.580000000002</v>
      </c>
      <c r="G50" s="2"/>
    </row>
    <row r="51" spans="2:7">
      <c r="B51">
        <v>530879</v>
      </c>
      <c r="C51">
        <v>20240430</v>
      </c>
      <c r="D51" t="s">
        <v>32</v>
      </c>
      <c r="E51" t="s">
        <v>3</v>
      </c>
      <c r="F51" s="2"/>
      <c r="G51" s="2">
        <v>41761.160000000003</v>
      </c>
    </row>
    <row r="52" spans="2:7">
      <c r="B52">
        <v>530878</v>
      </c>
      <c r="C52">
        <v>20240501</v>
      </c>
      <c r="D52" t="s">
        <v>32</v>
      </c>
      <c r="E52" t="s">
        <v>4</v>
      </c>
      <c r="F52" s="2">
        <v>41761.160000000003</v>
      </c>
      <c r="G52" s="2"/>
    </row>
    <row r="53" spans="2:7">
      <c r="B53">
        <v>530883</v>
      </c>
      <c r="C53">
        <v>20240501</v>
      </c>
      <c r="D53" t="s">
        <v>32</v>
      </c>
      <c r="E53" t="s">
        <v>3</v>
      </c>
      <c r="F53" s="2"/>
      <c r="G53" s="2">
        <v>62641.74</v>
      </c>
    </row>
    <row r="54" spans="2:7">
      <c r="B54">
        <v>530882</v>
      </c>
      <c r="C54">
        <v>20240502</v>
      </c>
      <c r="D54" t="s">
        <v>32</v>
      </c>
      <c r="E54" t="s">
        <v>4</v>
      </c>
      <c r="F54" s="2">
        <v>62641.74</v>
      </c>
      <c r="G54" s="2"/>
    </row>
    <row r="55" spans="2:7">
      <c r="B55">
        <v>530887</v>
      </c>
      <c r="C55">
        <v>20240502</v>
      </c>
      <c r="D55" t="s">
        <v>32</v>
      </c>
      <c r="E55" t="s">
        <v>3</v>
      </c>
      <c r="F55" s="2"/>
      <c r="G55" s="2">
        <v>83522.320000000007</v>
      </c>
    </row>
    <row r="56" spans="2:7">
      <c r="B56">
        <v>530886</v>
      </c>
      <c r="C56">
        <v>20240503</v>
      </c>
      <c r="D56" t="s">
        <v>32</v>
      </c>
      <c r="E56" t="s">
        <v>4</v>
      </c>
      <c r="F56" s="2">
        <v>83522.320000000007</v>
      </c>
      <c r="G56" s="2"/>
    </row>
    <row r="57" spans="2:7">
      <c r="B57">
        <v>530891</v>
      </c>
      <c r="C57">
        <v>20240503</v>
      </c>
      <c r="D57" t="s">
        <v>32</v>
      </c>
      <c r="E57" t="s">
        <v>3</v>
      </c>
      <c r="F57" s="2"/>
      <c r="G57" s="2">
        <v>104402.9</v>
      </c>
    </row>
    <row r="58" spans="2:7">
      <c r="B58">
        <v>530890</v>
      </c>
      <c r="C58">
        <v>20240504</v>
      </c>
      <c r="D58" t="s">
        <v>32</v>
      </c>
      <c r="E58" t="s">
        <v>4</v>
      </c>
      <c r="F58" s="2">
        <v>104402.9</v>
      </c>
      <c r="G58" s="2"/>
    </row>
    <row r="59" spans="2:7">
      <c r="B59" t="s">
        <v>30</v>
      </c>
      <c r="F59" s="2"/>
      <c r="G59" s="2">
        <f>SUM(account_2112492[Debit])-SUM(account_2112492[Credit])</f>
        <v>0</v>
      </c>
    </row>
    <row r="749" spans="4:4">
      <c r="D749" s="1"/>
    </row>
  </sheetData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1BE1-1E01-AF46-9E06-ACD0A2BB0559}">
  <dimension ref="A10:P32"/>
  <sheetViews>
    <sheetView showGridLines="0" topLeftCell="A8" workbookViewId="0">
      <selection activeCell="A11" sqref="A11:A32"/>
    </sheetView>
  </sheetViews>
  <sheetFormatPr baseColWidth="10" defaultRowHeight="16"/>
  <cols>
    <col min="1" max="1" width="17.1640625" bestFit="1" customWidth="1"/>
    <col min="2" max="2" width="16" bestFit="1" customWidth="1"/>
    <col min="3" max="3" width="19.5" bestFit="1" customWidth="1"/>
    <col min="4" max="4" width="11" bestFit="1" customWidth="1"/>
    <col min="5" max="5" width="15" bestFit="1" customWidth="1"/>
    <col min="6" max="6" width="12.6640625" bestFit="1" customWidth="1"/>
    <col min="7" max="7" width="17.6640625" bestFit="1" customWidth="1"/>
    <col min="8" max="8" width="19.1640625" bestFit="1" customWidth="1"/>
    <col min="9" max="9" width="22.33203125" bestFit="1" customWidth="1"/>
    <col min="10" max="10" width="39.6640625" bestFit="1" customWidth="1"/>
    <col min="11" max="11" width="21.1640625" bestFit="1" customWidth="1"/>
    <col min="12" max="12" width="23.6640625" bestFit="1" customWidth="1"/>
    <col min="13" max="13" width="39.6640625" bestFit="1" customWidth="1"/>
    <col min="14" max="14" width="22.5" bestFit="1" customWidth="1"/>
    <col min="15" max="15" width="13" bestFit="1" customWidth="1"/>
    <col min="16" max="16" width="14.6640625" bestFit="1" customWidth="1"/>
  </cols>
  <sheetData>
    <row r="10" spans="1:16">
      <c r="A10" t="s">
        <v>12</v>
      </c>
      <c r="B10" t="s">
        <v>13</v>
      </c>
      <c r="C10" t="s">
        <v>14</v>
      </c>
      <c r="D10" t="s">
        <v>15</v>
      </c>
      <c r="E10" t="s">
        <v>16</v>
      </c>
      <c r="F10" t="s">
        <v>17</v>
      </c>
      <c r="G10" t="s">
        <v>18</v>
      </c>
      <c r="H10" t="s">
        <v>19</v>
      </c>
      <c r="I10" t="s">
        <v>20</v>
      </c>
      <c r="J10" t="s">
        <v>21</v>
      </c>
      <c r="K10" t="s">
        <v>22</v>
      </c>
      <c r="L10" t="s">
        <v>23</v>
      </c>
      <c r="M10" t="s">
        <v>24</v>
      </c>
      <c r="N10" t="s">
        <v>25</v>
      </c>
      <c r="O10" t="s">
        <v>26</v>
      </c>
      <c r="P10" t="s">
        <v>27</v>
      </c>
    </row>
    <row r="11" spans="1:16">
      <c r="B11" t="s">
        <v>3</v>
      </c>
      <c r="C11" t="s">
        <v>31</v>
      </c>
      <c r="D11">
        <v>331180.59999999998</v>
      </c>
      <c r="E11">
        <v>0</v>
      </c>
      <c r="F11">
        <v>0</v>
      </c>
      <c r="G11">
        <v>20240429</v>
      </c>
      <c r="H11" t="s">
        <v>33</v>
      </c>
      <c r="I11">
        <v>2112482</v>
      </c>
      <c r="J11" t="s">
        <v>47</v>
      </c>
      <c r="K11">
        <v>21222009</v>
      </c>
      <c r="L11">
        <v>2112481</v>
      </c>
      <c r="M11" t="s">
        <v>38</v>
      </c>
      <c r="N11">
        <v>21222009</v>
      </c>
      <c r="P11" t="s">
        <v>3</v>
      </c>
    </row>
    <row r="12" spans="1:16">
      <c r="B12" t="s">
        <v>4</v>
      </c>
      <c r="C12" t="s">
        <v>31</v>
      </c>
      <c r="D12">
        <v>331180.59999999998</v>
      </c>
      <c r="E12">
        <v>0</v>
      </c>
      <c r="F12">
        <v>0</v>
      </c>
      <c r="G12">
        <v>20240430</v>
      </c>
      <c r="H12" t="s">
        <v>33</v>
      </c>
      <c r="I12">
        <v>2112481</v>
      </c>
      <c r="J12" t="s">
        <v>38</v>
      </c>
      <c r="K12">
        <v>21222009</v>
      </c>
      <c r="L12">
        <v>2112482</v>
      </c>
      <c r="M12" t="s">
        <v>47</v>
      </c>
      <c r="N12">
        <v>21222009</v>
      </c>
      <c r="P12" t="s">
        <v>3</v>
      </c>
    </row>
    <row r="13" spans="1:16">
      <c r="B13" t="s">
        <v>3</v>
      </c>
      <c r="C13" t="s">
        <v>32</v>
      </c>
      <c r="D13">
        <v>20880.580000000002</v>
      </c>
      <c r="E13">
        <v>0</v>
      </c>
      <c r="F13">
        <v>0</v>
      </c>
      <c r="G13">
        <v>20240429</v>
      </c>
      <c r="H13" t="s">
        <v>33</v>
      </c>
      <c r="I13">
        <v>2112491</v>
      </c>
      <c r="J13" t="s">
        <v>39</v>
      </c>
      <c r="K13">
        <v>21222009</v>
      </c>
      <c r="L13">
        <v>2112492</v>
      </c>
      <c r="M13" t="s">
        <v>37</v>
      </c>
      <c r="N13">
        <v>51235200</v>
      </c>
      <c r="P13" t="s">
        <v>3</v>
      </c>
    </row>
    <row r="14" spans="1:16">
      <c r="B14" t="s">
        <v>4</v>
      </c>
      <c r="C14" t="s">
        <v>32</v>
      </c>
      <c r="D14">
        <v>20880.580000000002</v>
      </c>
      <c r="E14">
        <v>0</v>
      </c>
      <c r="F14">
        <v>0</v>
      </c>
      <c r="G14">
        <v>20240430</v>
      </c>
      <c r="H14" t="s">
        <v>33</v>
      </c>
      <c r="I14">
        <v>2112492</v>
      </c>
      <c r="J14" t="s">
        <v>37</v>
      </c>
      <c r="K14">
        <v>51235200</v>
      </c>
      <c r="L14">
        <v>2112491</v>
      </c>
      <c r="M14" t="s">
        <v>39</v>
      </c>
      <c r="N14">
        <v>21222009</v>
      </c>
      <c r="P14" t="s">
        <v>3</v>
      </c>
    </row>
    <row r="15" spans="1:16">
      <c r="B15" t="s">
        <v>3</v>
      </c>
      <c r="C15" t="s">
        <v>31</v>
      </c>
      <c r="D15">
        <v>348861.16</v>
      </c>
      <c r="E15">
        <v>0</v>
      </c>
      <c r="F15">
        <v>0</v>
      </c>
      <c r="G15">
        <v>20240430</v>
      </c>
      <c r="H15" t="s">
        <v>33</v>
      </c>
      <c r="I15">
        <v>2112482</v>
      </c>
      <c r="J15" t="s">
        <v>47</v>
      </c>
      <c r="K15">
        <v>21222009</v>
      </c>
      <c r="L15">
        <v>2112481</v>
      </c>
      <c r="M15" t="s">
        <v>38</v>
      </c>
      <c r="N15">
        <v>21222009</v>
      </c>
      <c r="P15" t="s">
        <v>3</v>
      </c>
    </row>
    <row r="16" spans="1:16">
      <c r="B16" t="s">
        <v>4</v>
      </c>
      <c r="C16" t="s">
        <v>31</v>
      </c>
      <c r="D16">
        <v>348861.16</v>
      </c>
      <c r="E16">
        <v>0</v>
      </c>
      <c r="F16">
        <v>0</v>
      </c>
      <c r="G16">
        <v>20240501</v>
      </c>
      <c r="H16" t="s">
        <v>33</v>
      </c>
      <c r="I16">
        <v>2112481</v>
      </c>
      <c r="J16" t="s">
        <v>38</v>
      </c>
      <c r="K16">
        <v>21222009</v>
      </c>
      <c r="L16">
        <v>2112482</v>
      </c>
      <c r="M16" t="s">
        <v>47</v>
      </c>
      <c r="N16">
        <v>21222009</v>
      </c>
      <c r="P16" t="s">
        <v>3</v>
      </c>
    </row>
    <row r="17" spans="2:16">
      <c r="B17" t="s">
        <v>3</v>
      </c>
      <c r="C17" t="s">
        <v>32</v>
      </c>
      <c r="D17">
        <v>41761.160000000003</v>
      </c>
      <c r="E17">
        <v>0</v>
      </c>
      <c r="F17">
        <v>0</v>
      </c>
      <c r="G17">
        <v>20240430</v>
      </c>
      <c r="H17" t="s">
        <v>33</v>
      </c>
      <c r="I17">
        <v>2112491</v>
      </c>
      <c r="J17" t="s">
        <v>39</v>
      </c>
      <c r="K17">
        <v>21222009</v>
      </c>
      <c r="L17">
        <v>2112492</v>
      </c>
      <c r="M17" t="s">
        <v>37</v>
      </c>
      <c r="N17">
        <v>51235200</v>
      </c>
      <c r="P17" t="s">
        <v>3</v>
      </c>
    </row>
    <row r="18" spans="2:16">
      <c r="B18" t="s">
        <v>4</v>
      </c>
      <c r="C18" t="s">
        <v>32</v>
      </c>
      <c r="D18">
        <v>41761.160000000003</v>
      </c>
      <c r="E18">
        <v>0</v>
      </c>
      <c r="F18">
        <v>0</v>
      </c>
      <c r="G18">
        <v>20240501</v>
      </c>
      <c r="H18" t="s">
        <v>33</v>
      </c>
      <c r="I18">
        <v>2112492</v>
      </c>
      <c r="J18" t="s">
        <v>37</v>
      </c>
      <c r="K18">
        <v>51235200</v>
      </c>
      <c r="L18">
        <v>2112491</v>
      </c>
      <c r="M18" t="s">
        <v>39</v>
      </c>
      <c r="N18">
        <v>21222009</v>
      </c>
      <c r="P18" t="s">
        <v>3</v>
      </c>
    </row>
    <row r="19" spans="2:16">
      <c r="B19" t="s">
        <v>3</v>
      </c>
      <c r="C19" t="s">
        <v>34</v>
      </c>
      <c r="D19">
        <v>92796200</v>
      </c>
      <c r="E19">
        <v>0</v>
      </c>
      <c r="F19">
        <v>0</v>
      </c>
      <c r="G19">
        <v>20240429</v>
      </c>
      <c r="H19" t="s">
        <v>33</v>
      </c>
      <c r="I19">
        <v>2112485</v>
      </c>
      <c r="J19" t="s">
        <v>36</v>
      </c>
      <c r="K19">
        <v>21222000</v>
      </c>
      <c r="L19">
        <v>2056346</v>
      </c>
      <c r="M19" t="s">
        <v>28</v>
      </c>
      <c r="N19">
        <v>20291000</v>
      </c>
      <c r="P19" t="s">
        <v>3</v>
      </c>
    </row>
    <row r="20" spans="2:16">
      <c r="B20" t="s">
        <v>3</v>
      </c>
      <c r="C20" t="s">
        <v>31</v>
      </c>
      <c r="D20">
        <v>332241.75</v>
      </c>
      <c r="E20">
        <v>0</v>
      </c>
      <c r="F20">
        <v>0</v>
      </c>
      <c r="G20">
        <v>20240501</v>
      </c>
      <c r="H20" t="s">
        <v>33</v>
      </c>
      <c r="I20">
        <v>2112482</v>
      </c>
      <c r="J20" t="s">
        <v>47</v>
      </c>
      <c r="K20">
        <v>21222009</v>
      </c>
      <c r="L20">
        <v>2112481</v>
      </c>
      <c r="M20" t="s">
        <v>38</v>
      </c>
      <c r="N20">
        <v>21222009</v>
      </c>
      <c r="P20" t="s">
        <v>3</v>
      </c>
    </row>
    <row r="21" spans="2:16">
      <c r="B21" t="s">
        <v>4</v>
      </c>
      <c r="C21" t="s">
        <v>31</v>
      </c>
      <c r="D21">
        <v>332241.75</v>
      </c>
      <c r="E21">
        <v>0</v>
      </c>
      <c r="F21">
        <v>0</v>
      </c>
      <c r="G21">
        <v>20240502</v>
      </c>
      <c r="H21" t="s">
        <v>33</v>
      </c>
      <c r="I21">
        <v>2112481</v>
      </c>
      <c r="J21" t="s">
        <v>38</v>
      </c>
      <c r="K21">
        <v>21222009</v>
      </c>
      <c r="L21">
        <v>2112482</v>
      </c>
      <c r="M21" t="s">
        <v>47</v>
      </c>
      <c r="N21">
        <v>21222009</v>
      </c>
      <c r="P21" t="s">
        <v>3</v>
      </c>
    </row>
    <row r="22" spans="2:16">
      <c r="B22" t="s">
        <v>3</v>
      </c>
      <c r="C22" t="s">
        <v>32</v>
      </c>
      <c r="D22">
        <v>62641.74</v>
      </c>
      <c r="E22">
        <v>0</v>
      </c>
      <c r="F22">
        <v>0</v>
      </c>
      <c r="G22">
        <v>20240501</v>
      </c>
      <c r="H22" t="s">
        <v>33</v>
      </c>
      <c r="I22">
        <v>2112491</v>
      </c>
      <c r="J22" t="s">
        <v>39</v>
      </c>
      <c r="K22">
        <v>21222009</v>
      </c>
      <c r="L22">
        <v>2112492</v>
      </c>
      <c r="M22" t="s">
        <v>37</v>
      </c>
      <c r="N22">
        <v>51235200</v>
      </c>
      <c r="P22" t="s">
        <v>3</v>
      </c>
    </row>
    <row r="23" spans="2:16">
      <c r="B23" t="s">
        <v>4</v>
      </c>
      <c r="C23" t="s">
        <v>32</v>
      </c>
      <c r="D23">
        <v>62641.74</v>
      </c>
      <c r="E23">
        <v>0</v>
      </c>
      <c r="F23">
        <v>0</v>
      </c>
      <c r="G23">
        <v>20240502</v>
      </c>
      <c r="H23" t="s">
        <v>33</v>
      </c>
      <c r="I23">
        <v>2112492</v>
      </c>
      <c r="J23" t="s">
        <v>37</v>
      </c>
      <c r="K23">
        <v>51235200</v>
      </c>
      <c r="L23">
        <v>2112491</v>
      </c>
      <c r="M23" t="s">
        <v>39</v>
      </c>
      <c r="N23">
        <v>21222009</v>
      </c>
      <c r="P23" t="s">
        <v>3</v>
      </c>
    </row>
    <row r="24" spans="2:16">
      <c r="B24" t="s">
        <v>3</v>
      </c>
      <c r="C24" t="s">
        <v>31</v>
      </c>
      <c r="D24">
        <v>317822.3</v>
      </c>
      <c r="E24">
        <v>0</v>
      </c>
      <c r="F24">
        <v>0</v>
      </c>
      <c r="G24">
        <v>20240502</v>
      </c>
      <c r="H24" t="s">
        <v>33</v>
      </c>
      <c r="I24">
        <v>2112482</v>
      </c>
      <c r="J24" t="s">
        <v>47</v>
      </c>
      <c r="K24">
        <v>21222009</v>
      </c>
      <c r="L24">
        <v>2112481</v>
      </c>
      <c r="M24" t="s">
        <v>38</v>
      </c>
      <c r="N24">
        <v>21222009</v>
      </c>
      <c r="P24" t="s">
        <v>3</v>
      </c>
    </row>
    <row r="25" spans="2:16">
      <c r="B25" t="s">
        <v>4</v>
      </c>
      <c r="C25" t="s">
        <v>31</v>
      </c>
      <c r="D25">
        <v>317822.3</v>
      </c>
      <c r="E25">
        <v>0</v>
      </c>
      <c r="F25">
        <v>0</v>
      </c>
      <c r="G25">
        <v>20240503</v>
      </c>
      <c r="H25" t="s">
        <v>33</v>
      </c>
      <c r="I25">
        <v>2112481</v>
      </c>
      <c r="J25" t="s">
        <v>38</v>
      </c>
      <c r="K25">
        <v>21222009</v>
      </c>
      <c r="L25">
        <v>2112482</v>
      </c>
      <c r="M25" t="s">
        <v>47</v>
      </c>
      <c r="N25">
        <v>21222009</v>
      </c>
      <c r="P25" t="s">
        <v>3</v>
      </c>
    </row>
    <row r="26" spans="2:16">
      <c r="B26" t="s">
        <v>3</v>
      </c>
      <c r="C26" t="s">
        <v>32</v>
      </c>
      <c r="D26">
        <v>83522.320000000007</v>
      </c>
      <c r="E26">
        <v>0</v>
      </c>
      <c r="F26">
        <v>0</v>
      </c>
      <c r="G26">
        <v>20240502</v>
      </c>
      <c r="H26" t="s">
        <v>33</v>
      </c>
      <c r="I26">
        <v>2112491</v>
      </c>
      <c r="J26" t="s">
        <v>39</v>
      </c>
      <c r="K26">
        <v>21222009</v>
      </c>
      <c r="L26">
        <v>2112492</v>
      </c>
      <c r="M26" t="s">
        <v>37</v>
      </c>
      <c r="N26">
        <v>51235200</v>
      </c>
      <c r="P26" t="s">
        <v>3</v>
      </c>
    </row>
    <row r="27" spans="2:16">
      <c r="B27" t="s">
        <v>4</v>
      </c>
      <c r="C27" t="s">
        <v>32</v>
      </c>
      <c r="D27">
        <v>83522.320000000007</v>
      </c>
      <c r="E27">
        <v>0</v>
      </c>
      <c r="F27">
        <v>0</v>
      </c>
      <c r="G27">
        <v>20240503</v>
      </c>
      <c r="H27" t="s">
        <v>33</v>
      </c>
      <c r="I27">
        <v>2112492</v>
      </c>
      <c r="J27" t="s">
        <v>37</v>
      </c>
      <c r="K27">
        <v>51235200</v>
      </c>
      <c r="L27">
        <v>2112491</v>
      </c>
      <c r="M27" t="s">
        <v>39</v>
      </c>
      <c r="N27">
        <v>21222009</v>
      </c>
      <c r="P27" t="s">
        <v>3</v>
      </c>
    </row>
    <row r="28" spans="2:16">
      <c r="B28" t="s">
        <v>3</v>
      </c>
      <c r="C28" t="s">
        <v>31</v>
      </c>
      <c r="D28">
        <v>304802.90000000002</v>
      </c>
      <c r="E28">
        <v>0</v>
      </c>
      <c r="F28">
        <v>0</v>
      </c>
      <c r="G28">
        <v>20240503</v>
      </c>
      <c r="H28" t="s">
        <v>33</v>
      </c>
      <c r="I28">
        <v>2112482</v>
      </c>
      <c r="J28" t="s">
        <v>47</v>
      </c>
      <c r="K28">
        <v>21222009</v>
      </c>
      <c r="L28">
        <v>2112481</v>
      </c>
      <c r="M28" t="s">
        <v>38</v>
      </c>
      <c r="N28">
        <v>21222009</v>
      </c>
      <c r="P28" t="s">
        <v>3</v>
      </c>
    </row>
    <row r="29" spans="2:16">
      <c r="B29" t="s">
        <v>4</v>
      </c>
      <c r="C29" t="s">
        <v>31</v>
      </c>
      <c r="D29">
        <v>304802.90000000002</v>
      </c>
      <c r="E29">
        <v>0</v>
      </c>
      <c r="F29">
        <v>0</v>
      </c>
      <c r="G29">
        <v>20240504</v>
      </c>
      <c r="H29" t="s">
        <v>33</v>
      </c>
      <c r="I29">
        <v>2112481</v>
      </c>
      <c r="J29" t="s">
        <v>38</v>
      </c>
      <c r="K29">
        <v>21222009</v>
      </c>
      <c r="L29">
        <v>2112482</v>
      </c>
      <c r="M29" t="s">
        <v>47</v>
      </c>
      <c r="N29">
        <v>21222009</v>
      </c>
      <c r="P29" t="s">
        <v>3</v>
      </c>
    </row>
    <row r="30" spans="2:16">
      <c r="B30" t="s">
        <v>3</v>
      </c>
      <c r="C30" t="s">
        <v>32</v>
      </c>
      <c r="D30">
        <v>104402.9</v>
      </c>
      <c r="E30">
        <v>0</v>
      </c>
      <c r="F30">
        <v>0</v>
      </c>
      <c r="G30">
        <v>20240503</v>
      </c>
      <c r="H30" t="s">
        <v>33</v>
      </c>
      <c r="I30">
        <v>2112491</v>
      </c>
      <c r="J30" t="s">
        <v>39</v>
      </c>
      <c r="K30">
        <v>21222009</v>
      </c>
      <c r="L30">
        <v>2112492</v>
      </c>
      <c r="M30" t="s">
        <v>37</v>
      </c>
      <c r="N30">
        <v>51235200</v>
      </c>
      <c r="P30" t="s">
        <v>3</v>
      </c>
    </row>
    <row r="31" spans="2:16">
      <c r="B31" t="s">
        <v>4</v>
      </c>
      <c r="C31" t="s">
        <v>32</v>
      </c>
      <c r="D31">
        <v>104402.9</v>
      </c>
      <c r="E31">
        <v>0</v>
      </c>
      <c r="F31">
        <v>0</v>
      </c>
      <c r="G31">
        <v>20240504</v>
      </c>
      <c r="H31" t="s">
        <v>33</v>
      </c>
      <c r="I31">
        <v>2112492</v>
      </c>
      <c r="J31" t="s">
        <v>37</v>
      </c>
      <c r="K31">
        <v>51235200</v>
      </c>
      <c r="L31">
        <v>2112491</v>
      </c>
      <c r="M31" t="s">
        <v>39</v>
      </c>
      <c r="N31">
        <v>21222009</v>
      </c>
      <c r="P31" t="s">
        <v>3</v>
      </c>
    </row>
    <row r="32" spans="2:16">
      <c r="B32" t="s">
        <v>3</v>
      </c>
      <c r="C32" t="s">
        <v>40</v>
      </c>
      <c r="D32">
        <v>92796200</v>
      </c>
      <c r="E32">
        <v>979135</v>
      </c>
      <c r="F32">
        <v>0</v>
      </c>
      <c r="G32">
        <v>20240507</v>
      </c>
      <c r="H32" t="s">
        <v>33</v>
      </c>
      <c r="I32">
        <v>2056346</v>
      </c>
      <c r="J32" t="s">
        <v>28</v>
      </c>
      <c r="K32">
        <v>20291000</v>
      </c>
      <c r="L32">
        <v>2039960</v>
      </c>
      <c r="M32" t="s">
        <v>41</v>
      </c>
      <c r="N32">
        <v>20221200</v>
      </c>
      <c r="P32" t="s">
        <v>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3587-B823-3848-BE52-9664BA7E2829}">
  <dimension ref="A1:H8"/>
  <sheetViews>
    <sheetView showGridLines="0" workbookViewId="0">
      <selection activeCell="A7" sqref="A7"/>
    </sheetView>
  </sheetViews>
  <sheetFormatPr baseColWidth="10" defaultRowHeight="16"/>
  <cols>
    <col min="1" max="1" width="12.83203125" bestFit="1" customWidth="1"/>
    <col min="2" max="2" width="94.33203125" bestFit="1" customWidth="1"/>
    <col min="3" max="3" width="15" customWidth="1"/>
  </cols>
  <sheetData>
    <row r="1" spans="1:8">
      <c r="A1" t="s">
        <v>5</v>
      </c>
      <c r="B1" t="s">
        <v>6</v>
      </c>
      <c r="D1" t="s">
        <v>0</v>
      </c>
      <c r="E1" t="s">
        <v>2</v>
      </c>
      <c r="F1" t="s">
        <v>1</v>
      </c>
      <c r="G1" t="s">
        <v>7</v>
      </c>
      <c r="H1" t="s">
        <v>8</v>
      </c>
    </row>
    <row r="2" spans="1:8">
      <c r="A2">
        <v>2112482</v>
      </c>
      <c r="B2" t="s">
        <v>47</v>
      </c>
    </row>
    <row r="3" spans="1:8">
      <c r="A3">
        <v>2112481</v>
      </c>
      <c r="B3" t="s">
        <v>38</v>
      </c>
    </row>
    <row r="4" spans="1:8">
      <c r="A4">
        <v>2112491</v>
      </c>
      <c r="B4" t="s">
        <v>39</v>
      </c>
    </row>
    <row r="5" spans="1:8">
      <c r="A5">
        <v>2112492</v>
      </c>
      <c r="B5" t="s">
        <v>37</v>
      </c>
    </row>
    <row r="6" spans="1:8">
      <c r="A6">
        <v>2112485</v>
      </c>
      <c r="B6" t="s">
        <v>36</v>
      </c>
    </row>
    <row r="7" spans="1:8">
      <c r="A7">
        <v>2056346</v>
      </c>
      <c r="B7" t="s">
        <v>28</v>
      </c>
    </row>
    <row r="8" spans="1:8">
      <c r="A8">
        <v>2039960</v>
      </c>
      <c r="B8" t="s">
        <v>41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7EB002B05A274A9F992E1AA8E9C2CD" ma:contentTypeVersion="4" ma:contentTypeDescription="Create a new document." ma:contentTypeScope="" ma:versionID="6ff9ce7f38ae3796892fe7a7dc36141a">
  <xsd:schema xmlns:xsd="http://www.w3.org/2001/XMLSchema" xmlns:xs="http://www.w3.org/2001/XMLSchema" xmlns:p="http://schemas.microsoft.com/office/2006/metadata/properties" xmlns:ns2="e811df3d-6baf-48e3-8134-c0eb05a3e275" targetNamespace="http://schemas.microsoft.com/office/2006/metadata/properties" ma:root="true" ma:fieldsID="598c1aaff15a4181df4eb6523d5f2ae7" ns2:_="">
    <xsd:import namespace="e811df3d-6baf-48e3-8134-c0eb05a3e2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11df3d-6baf-48e3-8134-c0eb05a3e2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scriptIds xmlns="http://schemas.microsoft.com/office/extensibility/maker/v1.0" id="script-ids-node-id">
  <scriptId id="ms-officescript%3A%2F%2Fonedrive_business_itemlink%2F01ZR7BC22JZBTX37WA45HZN5JGI3OLQ5WZ:ms-officescript%3A%2F%2Fonedrive_business_sharinglink%2Fu!aHR0cHM6Ly9kaXNjb3ZlcnliYW5rMzY1LW15LnNoYXJlcG9pbnQuY29tLzp1Oi9nL3BlcnNvbmFsL3BpZXJyZW9vc3RodWl6ZW5fZGlzY292ZXJ5X2JhbmsvRVVuSVozMy13T2RQbHZVbVJ0eTRkdGtCVXNMYzY2Z0ZMRlgxX19MdlEwMUxIdw"/>
  <scriptId id="ms-officescript%3A%2F%2Fonedrive_business_itemlink%2F01ZR7BC24VKI5Z7J5SP5G35IXU4QKHURAN:ms-officescript%3A%2F%2Fonedrive_business_sharinglink%2Fu!aHR0cHM6Ly9kaXNjb3ZlcnliYW5rMzY1LW15LnNoYXJlcG9pbnQuY29tLzp1Oi9nL3BlcnNvbmFsL3BpZXJyZW9vc3RodWl6ZW5fZGlzY292ZXJ5X2JhbmsvRVpWU081LW5zbjlOdnFMMDVCUjZSQTBCRXhsV1FacnlfWVY2LUx3aHlrUm16Zw"/>
</scriptIds>
</file>

<file path=customXml/itemProps1.xml><?xml version="1.0" encoding="utf-8"?>
<ds:datastoreItem xmlns:ds="http://schemas.openxmlformats.org/officeDocument/2006/customXml" ds:itemID="{1EDDCF1A-71DE-4088-8C53-F6D491E80D4A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e811df3d-6baf-48e3-8134-c0eb05a3e27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27D70A3-47F8-475F-919B-312B6D7B0C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11df3d-6baf-48e3-8134-c0eb05a3e2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E9B3A1-1AA2-4C8B-B75F-FD864631C7C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59B8486-629A-5B42-A8C8-D41093E4FB68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t_accounts</vt:lpstr>
      <vt:lpstr>postings_source</vt:lpstr>
      <vt:lpstr>reference_data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Oosthuizen</dc:creator>
  <cp:lastModifiedBy>Pierre Oosthuizen</cp:lastModifiedBy>
  <dcterms:created xsi:type="dcterms:W3CDTF">2024-01-17T09:12:51Z</dcterms:created>
  <dcterms:modified xsi:type="dcterms:W3CDTF">2024-05-08T08:20:56Z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0x010100F57EB002B05A274A9F992E1AA8E9C2CD</vt:lpwstr>
  </property>
</Properties>
</file>