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/>
  <workbookPr/>
  <mc:AlternateContent xmlns:mc="http://schemas.openxmlformats.org/markup-compatibility/2006">
    <mc:Choice Requires="x15">
      <x15ac:absPath xmlns:x15ac="http://schemas.microsoft.com/office/spreadsheetml/2010/11/ac" url="/Users/pierreoosthuizen/Development/Projects/plouton/clp_accounting_excel_scripts/excel_scripts/Automated Accounting Postings/"/>
    </mc:Choice>
  </mc:AlternateContent>
  <xr:revisionPtr revIDLastSave="0" documentId="8_{137B414A-01A5-D444-AD7D-3619FA6C9A5A}" xr6:coauthVersionLast="47" xr6:coauthVersionMax="47" xr10:uidLastSave="{00000000-0000-0000-0000-000000000000}"/>
  <bookViews>
    <workbookView xWindow="-33600" yWindow="1500" windowWidth="33600" windowHeight="18400" xr2:uid="{69B0D6D4-DC49-2E45-A600-A62C5E051B66}"/>
  </bookViews>
  <sheets>
    <sheet name="t_accounts" sheetId="4" r:id="rId1"/>
    <sheet name="postings_source" sheetId="2" r:id="rId2"/>
    <sheet name="reference_data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4" l="1"/>
  <c r="N34" i="4"/>
  <c r="N28" i="4"/>
  <c r="N22" i="4"/>
  <c r="N16" i="4"/>
  <c r="N10" i="4"/>
  <c r="G41" i="4"/>
  <c r="G35" i="4"/>
  <c r="G28" i="4"/>
  <c r="G21" i="4"/>
  <c r="G15" i="4"/>
  <c r="G9" i="4"/>
</calcChain>
</file>

<file path=xl/sharedStrings.xml><?xml version="1.0" encoding="utf-8"?>
<sst xmlns="http://schemas.openxmlformats.org/spreadsheetml/2006/main" count="261" uniqueCount="62">
  <si>
    <t>Posting Id</t>
  </si>
  <si>
    <t>Event Type</t>
  </si>
  <si>
    <t>Effective Date</t>
  </si>
  <si>
    <t>CST_S_SETTLED</t>
  </si>
  <si>
    <t>NEW</t>
  </si>
  <si>
    <t>ZAR</t>
  </si>
  <si>
    <t>SARB Settlement Trading</t>
  </si>
  <si>
    <t>REVERSAL</t>
  </si>
  <si>
    <t>GLAccount</t>
  </si>
  <si>
    <t>Gl Account Name</t>
  </si>
  <si>
    <t>Debit</t>
  </si>
  <si>
    <t>Credit</t>
  </si>
  <si>
    <t>PostingId</t>
  </si>
  <si>
    <t>EffectiveDate</t>
  </si>
  <si>
    <t>EventType</t>
  </si>
  <si>
    <t>BO_POSTING_ID</t>
  </si>
  <si>
    <t>POSTING_TYPE</t>
  </si>
  <si>
    <t>BO_POSTING_TYPE</t>
  </si>
  <si>
    <t>AMOUNT</t>
  </si>
  <si>
    <t>TRANSFER_ID</t>
  </si>
  <si>
    <t>LINKED_ID</t>
  </si>
  <si>
    <t>EFFECTIVE_DATE</t>
  </si>
  <si>
    <t>CURRENCY_CODE</t>
  </si>
  <si>
    <t>DEBIT_CLP_ACCOUNT</t>
  </si>
  <si>
    <t>DEBIT_ACCOUNT_NAME</t>
  </si>
  <si>
    <t>DEBIT_GL_ACCOUNT</t>
  </si>
  <si>
    <t>CREDIT_CLP_ACCOUNT</t>
  </si>
  <si>
    <t>CREDIT_ACCOUNT_NAME</t>
  </si>
  <si>
    <t>CREDIT_GL_ACCOUNT</t>
  </si>
  <si>
    <t>SENT_DATE</t>
  </si>
  <si>
    <t>SENT_STATUS</t>
  </si>
  <si>
    <t>INTEREST</t>
  </si>
  <si>
    <t>2039960 - SARB Settlement Trading</t>
  </si>
  <si>
    <t>Treasury Own Funds</t>
  </si>
  <si>
    <t>PostingType</t>
  </si>
  <si>
    <t>Total</t>
  </si>
  <si>
    <t>Swap TRD Interest Receivable Banks</t>
  </si>
  <si>
    <t>Swap TRD Interest Payable Banks</t>
  </si>
  <si>
    <t>MTM_NET</t>
  </si>
  <si>
    <t>Swap TRD Derivatives Unrealized Loss Banks</t>
  </si>
  <si>
    <t>Swap TRD Derivatives Fair Value Liability Banks</t>
  </si>
  <si>
    <t>ACCRUAL_RECLEG</t>
  </si>
  <si>
    <t>Swap TRD Interest Income Banks</t>
  </si>
  <si>
    <t>ACCRUAL_PAYLEG</t>
  </si>
  <si>
    <t>Swap TRD Interest Expense Banks</t>
  </si>
  <si>
    <t>COT_REV</t>
  </si>
  <si>
    <t>COT</t>
  </si>
  <si>
    <t>2105914 - Treasury Own Funds</t>
  </si>
  <si>
    <t>2105905 - Swap TRD Interest Receivable Banks</t>
  </si>
  <si>
    <t>2105908 - Swap TRD Interest Payable Banks</t>
  </si>
  <si>
    <t>2105915 - Swap TRD Derivatives Unrealized Loss Banks</t>
  </si>
  <si>
    <t>2105916 - Swap TRD Derivatives Fair Value Liability Banks</t>
  </si>
  <si>
    <t>2105906 - Swap TRD Interest Income Banks</t>
  </si>
  <si>
    <t>2105907 - Swap TRD Interest Expense Banks</t>
  </si>
  <si>
    <t>Swap TRD Contingent Contra Asset Banks</t>
  </si>
  <si>
    <t>Swap TRD Contingent Asset Banks</t>
  </si>
  <si>
    <t>Swap TRD Contingent Liability Banks</t>
  </si>
  <si>
    <t>Swap TRD Contingent Contra Liability Banks</t>
  </si>
  <si>
    <t>2105909 - Swap TRD Contingent Contra Asset Banks</t>
  </si>
  <si>
    <t>2105911 - Swap TRD Contingent Liability Banks</t>
  </si>
  <si>
    <t>2105910 - Swap TRD Contingent Asset Banks</t>
  </si>
  <si>
    <t>2105912 - Swap TRD Contingent Contra Liability Banks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</si>
</sst>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yyyy\-mm\-dd"/>
  </numFmts>
  <fonts count="3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0000FF"/>
      <name val="Menlo,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">
    <xf numFmtId="0" fontId="0" fillId="0" borderId="0" xfId="0"/>
    <xf numFmtId="2" fontId="0" fillId="0" borderId="0" xfId="1" applyNumberFormat="1" applyFont="1"/>
    <xf numFmtId="0" fontId="2" fillId="0" borderId="0" xfId="0" applyFont="1"/>
    <xf numFmtId="1" fontId="0" fillId="0" borderId="0" xfId="0" applyNumberFormat="1"/>
    <xf numFmtId="3" fontId="0" fillId="0" borderId="0" xfId="0" applyNumberFormat="1"/>
    <xf numFmtId="164" fontId="0" fillId="0" borderId="0" xfId="0" applyNumberFormat="1"/>
    <xf numFmtId="14" fontId="0" fillId="0" borderId="0" xfId="0" applyNumberFormat="1"/>
  </cellXfs>
  <cellStyles count="2">
    <cellStyle name="Comma" xfId="1" builtinId="3"/>
    <cellStyle name="Normal" xfId="0" builtinId="0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2" formatCode="0.00"/>
    </dxf>
    <dxf>
      <numFmt numFmtId="1" formatCode="0"/>
    </dxf>
    <dxf>
      <numFmt numFmtId="19" formatCode="yyyy/mm/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yyyy\-mm\-dd"/>
    </dxf>
    <dxf>
      <numFmt numFmtId="164" formatCode="yyyy\-mm\-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215900</xdr:colOff>
      <xdr:row>0</xdr:row>
      <xdr:rowOff>177800</xdr:rowOff>
    </xdr:from>
    <xdr:to>
      <xdr:col>8</xdr:col>
      <xdr:colOff>215900</xdr:colOff>
      <xdr:row>2</xdr:row>
      <xdr:rowOff>63500</xdr:rowOff>
    </xdr:to>
    <xdr:sp macro="" textlink="">
      <xdr:nvSpPr>
        <xdr:cNvPr id="2" name="Rounded Rectangle 1" descr="Run the script that parse the postings and populate the t-accounts.">
          <a:extLst>
            <a:ext uri="{FF2B5EF4-FFF2-40B4-BE49-F238E27FC236}">
              <a16:creationId xmlns:a16="http://schemas.microsoft.com/office/drawing/2014/main" id="{C80A1DFC-30F6-5B49-BF09-7B15B227D00C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VuSVozMy13T2RQbHZVbVJ0eTRkdGtCVXNMYzY2Z0ZMRlgxX19MdlEwMUxIdw&quot;}"/>
            </a:ext>
          </a:extLst>
        </xdr:cNvPr>
        <xdr:cNvSpPr/>
      </xdr:nvSpPr>
      <xdr:spPr>
        <a:xfrm>
          <a:off x="6197600" y="177800"/>
          <a:ext cx="1676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 Account Postings</a:t>
          </a:r>
        </a:p>
      </xdr:txBody>
    </xdr:sp>
    <xdr:clientData fPrintsWithSheet="0"/>
  </xdr:twoCellAnchor>
  <xdr:twoCellAnchor editAs="absolute">
    <xdr:from>
      <xdr:col>1</xdr:col>
      <xdr:colOff>50800</xdr:colOff>
      <xdr:row>0</xdr:row>
      <xdr:rowOff>114300</xdr:rowOff>
    </xdr:from>
    <xdr:to>
      <xdr:col>4</xdr:col>
      <xdr:colOff>406400</xdr:colOff>
      <xdr:row>2</xdr:row>
      <xdr:rowOff>88900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94DC4DA-1E82-D5F9-B05A-8710B3D8B1B7}"/>
            </a:ext>
          </a:extLst>
        </xdr:cNvPr>
        <xdr:cNvSpPr txBox="1"/>
      </xdr:nvSpPr>
      <xdr:spPr>
        <a:xfrm>
          <a:off x="889000" y="114300"/>
          <a:ext cx="3416300" cy="381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800" b="1"/>
            <a:t>Interest Rate Swap (Banks)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317500</xdr:colOff>
      <xdr:row>1</xdr:row>
      <xdr:rowOff>139700</xdr:rowOff>
    </xdr:from>
    <xdr:to>
      <xdr:col>2</xdr:col>
      <xdr:colOff>660400</xdr:colOff>
      <xdr:row>6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3C577C-DDEE-855A-A454-46DF17666DAC}"/>
            </a:ext>
          </a:extLst>
        </xdr:cNvPr>
        <xdr:cNvSpPr txBox="1"/>
      </xdr:nvSpPr>
      <xdr:spPr>
        <a:xfrm>
          <a:off x="317500" y="342900"/>
          <a:ext cx="2870200" cy="914400"/>
        </a:xfrm>
        <a:prstGeom prst="rect">
          <a:avLst/>
        </a:prstGeom>
        <a:ln w="25400" cap="rnd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>
              <a:solidFill>
                <a:srgbClr val="FF0000"/>
              </a:solidFill>
            </a:rPr>
            <a:t>This table must not</a:t>
          </a:r>
          <a:r>
            <a:rPr lang="en-GB" sz="1200" b="1" baseline="0">
              <a:solidFill>
                <a:srgbClr val="FF0000"/>
              </a:solidFill>
            </a:rPr>
            <a:t> be amended in any way other than removing and adding postings. The format is important to allow the script to parse postings correctly.</a:t>
          </a:r>
          <a:endParaRPr lang="en-GB" sz="1200" b="1">
            <a:solidFill>
              <a:srgbClr val="FF0000"/>
            </a:solidFill>
          </a:endParaRPr>
        </a:p>
      </xdr:txBody>
    </xdr:sp>
    <xdr:clientData fPrintsWithSheet="0"/>
  </xdr:twoCellAnchor>
  <xdr:twoCellAnchor editAs="absolute">
    <xdr:from>
      <xdr:col>2</xdr:col>
      <xdr:colOff>1168400</xdr:colOff>
      <xdr:row>3</xdr:row>
      <xdr:rowOff>38100</xdr:rowOff>
    </xdr:from>
    <xdr:to>
      <xdr:col>4</xdr:col>
      <xdr:colOff>520700</xdr:colOff>
      <xdr:row>4</xdr:row>
      <xdr:rowOff>127000</xdr:rowOff>
    </xdr:to>
    <xdr:sp macro="" textlink="">
      <xdr:nvSpPr>
        <xdr:cNvPr id="3" name="Rounded Rectangle 2" descr="Run the script that parse the postings and populate the t-accounts.">
          <a:extLst>
            <a:ext uri="{FF2B5EF4-FFF2-40B4-BE49-F238E27FC236}">
              <a16:creationId xmlns:a16="http://schemas.microsoft.com/office/drawing/2014/main" id="{EB766FFD-8B76-6243-B5CA-75F2B48E0804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aXNjb3ZlcnliYW5rMzY1LW15LnNoYXJlcG9pbnQuY29tLzp1Oi9nL3BlcnNvbmFsL3BpZXJyZW9vc3RodWl6ZW5fZGlzY292ZXJ5X2JhbmsvRVVuSVozMy13T2RQbHZVbVJ0eTRkdGtCVXNMYzY2Z0ZMRlgxX19MdlEwMUxIdw&quot;}"/>
            </a:ext>
          </a:extLst>
        </xdr:cNvPr>
        <xdr:cNvSpPr/>
      </xdr:nvSpPr>
      <xdr:spPr>
        <a:xfrm>
          <a:off x="3695700" y="647700"/>
          <a:ext cx="16764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/>
            <a:t>Parse Account Postings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80A4C2-49B4-E544-AC2E-6369ECE6196C}" name="account_2105915" displayName="account_2105915" ref="B6:G9" totalsRowCount="1">
  <autoFilter ref="B6:G8" xr:uid="{D880A4C2-49B4-E544-AC2E-6369ECE619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7:G8">
    <sortCondition ref="C7:C8"/>
    <sortCondition ref="B7:B8"/>
  </sortState>
  <tableColumns count="6">
    <tableColumn id="1" xr3:uid="{3F573CFB-1C1E-8044-8BFB-F22691D2EF4D}" name="PostingId" totalsRowLabel="Total"/>
    <tableColumn id="2" xr3:uid="{7DBA1833-F97F-FA47-9C55-847D604CD4BD}" name="EffectiveDate" dataDxfId="74" totalsRowDxfId="73"/>
    <tableColumn id="3" xr3:uid="{976B49E2-0618-3F4F-80A6-B23D870857AE}" name="EventType"/>
    <tableColumn id="4" xr3:uid="{A046CB16-419A-E645-A7C0-79F67862A179}" name="PostingType"/>
    <tableColumn id="5" xr3:uid="{C755E211-F08C-1249-8AE9-0A482DC1C1FA}" name="Debit" dataDxfId="72" totalsRowDxfId="71"/>
    <tableColumn id="6" xr3:uid="{D6FEF924-5316-224D-9914-3D719CA6453B}" name="Credit" totalsRowFunction="custom" dataDxfId="70" totalsRowDxfId="69">
      <totalsRowFormula>SUM(account_2105915[Debit])-SUM(account_2105915[Credit])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72C58F-87EB-794A-A6A3-DCFFF942AF38}" name="account_2105916" displayName="account_2105916" ref="B12:G15" totalsRowCount="1">
  <autoFilter ref="B12:G14" xr:uid="{7172C58F-87EB-794A-A6A3-DCFFF942AF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13:G14">
    <sortCondition ref="C13:C14"/>
    <sortCondition ref="B13:B14"/>
  </sortState>
  <tableColumns count="6">
    <tableColumn id="1" xr3:uid="{A361CDB8-92CB-F14D-9D86-EBC6BCF1B62A}" name="PostingId" totalsRowLabel="Total"/>
    <tableColumn id="2" xr3:uid="{6F0CA3A9-EECA-5E48-98EE-179E5EF65A1E}" name="EffectiveDate" dataDxfId="68" totalsRowDxfId="67"/>
    <tableColumn id="3" xr3:uid="{4CBC6201-8D9B-0E4B-BF4A-52EC399E955D}" name="EventType"/>
    <tableColumn id="4" xr3:uid="{5A1808A0-EF94-6340-A369-17D7AC04F868}" name="PostingType"/>
    <tableColumn id="5" xr3:uid="{F6732910-76D2-C144-83D4-DFBA8EC46854}" name="Debit" dataDxfId="66" totalsRowDxfId="65"/>
    <tableColumn id="6" xr3:uid="{05E1D29C-C2EE-0E47-B97D-A147436322C4}" name="Credit" totalsRowFunction="custom" dataDxfId="64" totalsRowDxfId="63">
      <totalsRowFormula>SUM(account_2105916[Debit])-SUM(account_2105916[Credit])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A20420-9CE8-DE4D-94EC-60E67031601E}" name="account_2105905" displayName="account_2105905" ref="B18:G21" totalsRowCount="1">
  <autoFilter ref="B18:G20" xr:uid="{25A20420-9CE8-DE4D-94EC-60E6703160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19:G20">
    <sortCondition ref="C19:C20"/>
    <sortCondition ref="B19:B20"/>
  </sortState>
  <tableColumns count="6">
    <tableColumn id="1" xr3:uid="{F90854FD-6141-884B-BE8A-827E86C47B09}" name="PostingId" totalsRowLabel="Total"/>
    <tableColumn id="2" xr3:uid="{09790206-1444-6945-B034-656A92078F0E}" name="EffectiveDate" dataDxfId="62" totalsRowDxfId="61"/>
    <tableColumn id="3" xr3:uid="{DD00D01E-B521-AA46-940F-E399B997BF41}" name="EventType"/>
    <tableColumn id="4" xr3:uid="{271CC6D6-1AD4-A74C-9281-8C7B2CDC6670}" name="PostingType"/>
    <tableColumn id="5" xr3:uid="{E7676E1B-7DB2-C247-8818-6CD3D007C029}" name="Debit" dataDxfId="60" totalsRowDxfId="59"/>
    <tableColumn id="6" xr3:uid="{13AFFBE2-6FC4-0E46-B6B1-AF08131FA0CB}" name="Credit" totalsRowFunction="custom" dataDxfId="58" totalsRowDxfId="57">
      <totalsRowFormula>SUM(account_2105905[Debit])-SUM(account_2105905[Credit])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8CCC6F-C07B-B845-A3D6-615576861741}" name="account_2105906" displayName="account_2105906" ref="B24:G28" totalsRowCount="1">
  <autoFilter ref="B24:G27" xr:uid="{708CCC6F-C07B-B845-A3D6-61557686174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25:G27">
    <sortCondition ref="C25:C27"/>
    <sortCondition ref="B25:B27"/>
  </sortState>
  <tableColumns count="6">
    <tableColumn id="1" xr3:uid="{47E9CD6B-E206-7B46-BD03-3DE91A6D93C5}" name="PostingId" totalsRowLabel="Total"/>
    <tableColumn id="2" xr3:uid="{9E54951C-A0D3-D948-9CD1-E0C666FE90F1}" name="EffectiveDate" dataDxfId="56" totalsRowDxfId="55"/>
    <tableColumn id="3" xr3:uid="{5903910D-5DC5-8F4D-A444-450D9F81AC18}" name="EventType"/>
    <tableColumn id="4" xr3:uid="{AAC2E4E1-9391-4A4B-8F2D-8F0119A0F810}" name="PostingType"/>
    <tableColumn id="5" xr3:uid="{F83BA07C-AE0D-174B-AA39-AAD813F79499}" name="Debit" dataDxfId="54" totalsRowDxfId="53"/>
    <tableColumn id="6" xr3:uid="{4B83EB53-5D9C-E642-833D-5B64C8D67F07}" name="Credit" totalsRowFunction="custom" dataDxfId="52" totalsRowDxfId="51">
      <totalsRowFormula>SUM(account_2105906[Debit])-SUM(account_2105906[Credit])</totalsRow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903E6E0-5EF9-C14B-9A68-EB4D94BF0899}" name="account_2105907" displayName="account_2105907" ref="B31:G35" totalsRowCount="1">
  <autoFilter ref="B31:G34" xr:uid="{B903E6E0-5EF9-C14B-9A68-EB4D94BF089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32:G34">
    <sortCondition ref="C32:C34"/>
    <sortCondition ref="B32:B34"/>
  </sortState>
  <tableColumns count="6">
    <tableColumn id="1" xr3:uid="{51F9AA67-5AE6-2C44-AD42-EED09EB51DD2}" name="PostingId" totalsRowLabel="Total"/>
    <tableColumn id="2" xr3:uid="{06D0595D-81D4-9946-8145-269531504B9F}" name="EffectiveDate" dataDxfId="50" totalsRowDxfId="49"/>
    <tableColumn id="3" xr3:uid="{AA23BC76-B9CB-7C48-BA9B-5C6C33FA2EA5}" name="EventType"/>
    <tableColumn id="4" xr3:uid="{5A54943E-CA46-6D4E-BBFC-98E28342B66D}" name="PostingType"/>
    <tableColumn id="5" xr3:uid="{2796B7D6-827E-D743-AD2C-EE872783AFFB}" name="Debit" dataDxfId="48" totalsRowDxfId="47"/>
    <tableColumn id="6" xr3:uid="{5FA055BA-F89C-6746-9C4E-9B11C00F54E4}" name="Credit" totalsRowFunction="custom" dataDxfId="46" totalsRowDxfId="45">
      <totalsRowFormula>SUM(account_2105907[Debit])-SUM(account_2105907[Credit])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53FC65-4FA8-5643-AF52-C67BE23662CB}" name="account_2105908" displayName="account_2105908" ref="B38:G41" totalsRowCount="1">
  <autoFilter ref="B38:G40" xr:uid="{B453FC65-4FA8-5643-AF52-C67BE23662C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B39:G40">
    <sortCondition ref="C39:C40"/>
    <sortCondition ref="B39:B40"/>
  </sortState>
  <tableColumns count="6">
    <tableColumn id="1" xr3:uid="{8D3A012A-0DE5-D844-B372-BDAACC87400A}" name="PostingId" totalsRowLabel="Total"/>
    <tableColumn id="2" xr3:uid="{07106CFE-C42E-164D-A4F6-267E51E19686}" name="EffectiveDate" dataDxfId="44" totalsRowDxfId="43"/>
    <tableColumn id="3" xr3:uid="{50A6AB67-91CC-B64C-9A26-A1D31AB8CA1B}" name="EventType"/>
    <tableColumn id="4" xr3:uid="{0BDADA07-ED06-4E46-ADEA-D7E55032BE70}" name="PostingType"/>
    <tableColumn id="5" xr3:uid="{A2CB2724-0A8D-1C44-897B-D95790E7262C}" name="Debit" dataDxfId="42" totalsRowDxfId="41"/>
    <tableColumn id="6" xr3:uid="{0DB5A279-2FFC-1C4A-B15C-92CB4CDDDA7C}" name="Credit" totalsRowFunction="custom" dataDxfId="40" totalsRowDxfId="39">
      <totalsRowFormula>SUM(account_2105908[Debit])-SUM(account_2105908[Credit])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C637B20-BD4A-C94D-8568-5F3F771B2EF4}" name="account_2105914" displayName="account_2105914" ref="I6:N10" totalsRowCount="1">
  <autoFilter ref="I6:N9" xr:uid="{DC637B20-BD4A-C94D-8568-5F3F771B2EF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7:N9">
    <sortCondition ref="J7:J9"/>
    <sortCondition ref="I7:I9"/>
  </sortState>
  <tableColumns count="6">
    <tableColumn id="1" xr3:uid="{A0C6EE2D-7134-0447-90D0-B520F0EE81A8}" name="PostingId" totalsRowLabel="Total"/>
    <tableColumn id="2" xr3:uid="{5D71C60D-09E4-F34C-801E-EB605F0AA60C}" name="EffectiveDate" dataDxfId="38" totalsRowDxfId="37"/>
    <tableColumn id="3" xr3:uid="{0B608D2D-016D-694C-A234-A002CFF81832}" name="EventType"/>
    <tableColumn id="4" xr3:uid="{E341A0C9-725E-EB4E-881A-AA32C6644150}" name="PostingType"/>
    <tableColumn id="5" xr3:uid="{DFE189A1-7674-3642-A04B-44C68DCF8DA8}" name="Debit" dataDxfId="36" totalsRowDxfId="35"/>
    <tableColumn id="6" xr3:uid="{3505D138-F9B1-F747-B2F2-F6D9916BE1A1}" name="Credit" totalsRowFunction="custom" dataDxfId="34" totalsRowDxfId="33">
      <totalsRowFormula>SUM(account_2105914[Debit])-SUM(account_2105914[Credit])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D2CEA-32D1-354C-B134-6FB2D4DD3461}" name="account_2105909" displayName="account_2105909" ref="I13:N16" totalsRowCount="1">
  <autoFilter ref="I13:N15" xr:uid="{31FD2CEA-32D1-354C-B134-6FB2D4DD34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14:N15">
    <sortCondition ref="J14:J15"/>
    <sortCondition ref="I14:I15"/>
  </sortState>
  <tableColumns count="6">
    <tableColumn id="1" xr3:uid="{281C6DED-FD83-614E-8BAA-EF23DA32A608}" name="PostingId" totalsRowLabel="Total"/>
    <tableColumn id="2" xr3:uid="{C82E0F7E-ED7F-6140-8A26-E724BC51ACD0}" name="EffectiveDate" dataDxfId="32" totalsRowDxfId="31"/>
    <tableColumn id="3" xr3:uid="{702968B7-BCF2-5146-AB6A-138523FF28DD}" name="EventType"/>
    <tableColumn id="4" xr3:uid="{1C037ACC-AD14-844E-89C0-ACCF12705B11}" name="PostingType"/>
    <tableColumn id="5" xr3:uid="{5BF48309-96AD-FD41-9E30-80CA729B9C0F}" name="Debit" dataDxfId="30" totalsRowDxfId="29"/>
    <tableColumn id="6" xr3:uid="{05F89818-39D2-2541-8F5B-907AB9A94ACB}" name="Credit" totalsRowFunction="custom" dataDxfId="28" totalsRowDxfId="27">
      <totalsRowFormula>SUM(account_2105909[Debit])-SUM(account_2105909[Credit])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AA7D14A-C9E8-E641-BB32-B83A83833C61}" name="account_2105911" displayName="account_2105911" ref="I19:N22" totalsRowCount="1">
  <autoFilter ref="I19:N21" xr:uid="{3AA7D14A-C9E8-E641-BB32-B83A83833C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20:N21">
    <sortCondition ref="J20:J21"/>
    <sortCondition ref="I20:I21"/>
  </sortState>
  <tableColumns count="6">
    <tableColumn id="1" xr3:uid="{683EBF43-6A01-3D48-925A-385A77EDD316}" name="PostingId" totalsRowLabel="Total"/>
    <tableColumn id="2" xr3:uid="{903EB095-01D1-F648-82DF-AAC9829C0F67}" name="EffectiveDate" dataDxfId="26" totalsRowDxfId="25"/>
    <tableColumn id="3" xr3:uid="{9311B1AF-9C69-B446-9E4C-C91CE1A1F6DA}" name="EventType"/>
    <tableColumn id="4" xr3:uid="{4034F4BE-144F-5A46-A337-79A6739301E9}" name="PostingType"/>
    <tableColumn id="5" xr3:uid="{FF66B501-96EF-E048-A066-D8C8CCEEA5A3}" name="Debit" dataDxfId="24" totalsRowDxfId="23"/>
    <tableColumn id="6" xr3:uid="{E70E4023-0338-DC42-8304-EF90FBB650E0}" name="Credit" totalsRowFunction="custom" dataDxfId="22" totalsRowDxfId="21">
      <totalsRowFormula>SUM(account_2105911[Debit])-SUM(account_2105911[Credit])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5E78D25-D831-3A41-800D-7712AFE725BA}" name="account_2105910" displayName="account_2105910" ref="I25:N28" totalsRowCount="1">
  <autoFilter ref="I25:N27" xr:uid="{95E78D25-D831-3A41-800D-7712AFE725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26:N27">
    <sortCondition ref="J26:J27"/>
    <sortCondition ref="I26:I27"/>
  </sortState>
  <tableColumns count="6">
    <tableColumn id="1" xr3:uid="{E42D2151-399D-B24A-AC33-0E2E980D7EDA}" name="PostingId" totalsRowLabel="Total"/>
    <tableColumn id="2" xr3:uid="{A621A78C-A642-3441-B50A-6EC0AE9A35A9}" name="EffectiveDate" dataDxfId="20" totalsRowDxfId="19"/>
    <tableColumn id="3" xr3:uid="{9E343604-0390-A84C-BDE2-D59D959C5A8C}" name="EventType"/>
    <tableColumn id="4" xr3:uid="{6AB0364D-81E2-0848-B394-B4A81C547839}" name="PostingType"/>
    <tableColumn id="5" xr3:uid="{F96BD9E8-0B26-6444-93AE-E5FCD4A9CFC9}" name="Debit" dataDxfId="18" totalsRowDxfId="17"/>
    <tableColumn id="6" xr3:uid="{CB350ECB-FE05-5645-AF46-CF2B3486D74C}" name="Credit" totalsRowFunction="custom" dataDxfId="16" totalsRowDxfId="15">
      <totalsRowFormula>SUM(account_2105910[Debit])-SUM(account_2105910[Credit])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762B4FD-F73C-BD4E-999A-AD4FDB2688BB}" name="account_2105912" displayName="account_2105912" ref="I31:N34" totalsRowCount="1">
  <autoFilter ref="I31:N33" xr:uid="{1762B4FD-F73C-BD4E-999A-AD4FDB2688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32:N33">
    <sortCondition ref="J32:J33"/>
    <sortCondition ref="I32:I33"/>
  </sortState>
  <tableColumns count="6">
    <tableColumn id="1" xr3:uid="{CBA63D66-8604-1640-A24C-224C9DF06E96}" name="PostingId" totalsRowLabel="Total"/>
    <tableColumn id="2" xr3:uid="{E73EDB3A-3092-F344-8533-E421547A5102}" name="EffectiveDate" dataDxfId="14" totalsRowDxfId="13"/>
    <tableColumn id="3" xr3:uid="{C3873CE4-CA08-C848-9BBB-C6E0D51CDEEB}" name="EventType"/>
    <tableColumn id="4" xr3:uid="{F2C76FB7-4A45-214B-A77A-7E6707638C77}" name="PostingType"/>
    <tableColumn id="5" xr3:uid="{CC21ABDD-3248-F246-917D-7EB69C8D484C}" name="Debit" dataDxfId="12" totalsRowDxfId="11"/>
    <tableColumn id="6" xr3:uid="{6CDD5800-D818-B344-8A10-F1B47EC01161}" name="Credit" totalsRowFunction="custom" dataDxfId="10" totalsRowDxfId="9">
      <totalsRowFormula>SUM(account_2105912[Debit])-SUM(account_2105912[Credit])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44C0F7-1076-2C4A-9EC4-3E1CC335D1DC}" name="account_2039960" displayName="account_2039960" ref="I37:N39" totalsRowCount="1">
  <autoFilter ref="I37:N38" xr:uid="{2644C0F7-1076-2C4A-9EC4-3E1CC335D1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I38:N38">
    <sortCondition ref="J38"/>
    <sortCondition ref="I38"/>
  </sortState>
  <tableColumns count="6">
    <tableColumn id="1" xr3:uid="{EDB87E14-9EA0-A24B-B956-785966E541A6}" name="PostingId" totalsRowLabel="Total"/>
    <tableColumn id="2" xr3:uid="{2CBF38DD-BBC1-CA42-9F16-77BBE869344A}" name="EffectiveDate" dataDxfId="8" totalsRowDxfId="7"/>
    <tableColumn id="3" xr3:uid="{1A6B2C0E-0F67-BF49-888A-E031A4EE6B61}" name="EventType"/>
    <tableColumn id="4" xr3:uid="{F515FD24-27F1-AA44-A5CF-A1D1B7607E57}" name="PostingType"/>
    <tableColumn id="5" xr3:uid="{4749E9A0-5CDE-2C4D-B8D6-8EFDC716FA0A}" name="Debit" dataDxfId="6" totalsRowDxfId="5"/>
    <tableColumn id="6" xr3:uid="{1780FA6A-33C3-3E47-9B19-50E3FECC2E2E}" name="Credit" totalsRowFunction="custom" dataDxfId="4" totalsRowDxfId="3">
      <totalsRowFormula>SUM(account_2039960[Debit])-SUM(account_2039960[Credit])</totalsRow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F8140-4167-8C4F-8473-661AF6909159}" name="postings_source" displayName="postings_source" ref="A10:P23" totalsRowShown="0">
  <autoFilter ref="A10:P23" xr:uid="{830F8140-4167-8C4F-8473-661AF6909159}"/>
  <tableColumns count="16">
    <tableColumn id="1" xr3:uid="{A4ECE6A9-4274-FC43-84CE-069794FDFC82}" name="BO_POSTING_ID"/>
    <tableColumn id="2" xr3:uid="{9389BC11-5FFB-A84A-AB80-05CB7E5F79A7}" name="POSTING_TYPE"/>
    <tableColumn id="3" xr3:uid="{C12A8276-6941-E045-BD14-48A718425163}" name="BO_POSTING_TYPE"/>
    <tableColumn id="4" xr3:uid="{7666DF6A-5A31-2F43-8856-12D6C629422A}" name="AMOUNT"/>
    <tableColumn id="5" xr3:uid="{B35D2CCA-8453-FA49-B56C-17992D718EB2}" name="TRANSFER_ID"/>
    <tableColumn id="6" xr3:uid="{FCDF5C5A-9C9B-384F-B955-83A0094CA214}" name="LINKED_ID"/>
    <tableColumn id="7" xr3:uid="{0B543AE7-BFCF-3D4D-B279-003BCA94C0B7}" name="EFFECTIVE_DATE" dataDxfId="2"/>
    <tableColumn id="8" xr3:uid="{F04ADDA0-4E0D-0341-A792-220DD2AAFB4D}" name="CURRENCY_CODE"/>
    <tableColumn id="9" xr3:uid="{78955310-67ED-6F47-8196-A2F67DD69518}" name="DEBIT_CLP_ACCOUNT" dataDxfId="1"/>
    <tableColumn id="10" xr3:uid="{6B1D90D1-B766-F944-BFE6-3D1BE258F3BC}" name="DEBIT_ACCOUNT_NAME" dataDxfId="0" dataCellStyle="Comma"/>
    <tableColumn id="11" xr3:uid="{BA0B5C26-80D2-7B47-8A54-A35154763A91}" name="DEBIT_GL_ACCOUNT"/>
    <tableColumn id="13" xr3:uid="{7AD4C9F9-A7A6-544D-B9C7-F0737384C014}" name="CREDIT_CLP_ACCOUNT"/>
    <tableColumn id="12" xr3:uid="{DFFFFDD8-7113-E64C-B8BC-94BA2A0D34DD}" name="CREDIT_ACCOUNT_NAME"/>
    <tableColumn id="17" xr3:uid="{DE8F7314-4BD6-C040-8DAA-4212C758A833}" name="CREDIT_GL_ACCOUNT"/>
    <tableColumn id="16" xr3:uid="{DA3225A5-D923-664D-B541-87C465B7468C}" name="SENT_DATE"/>
    <tableColumn id="15" xr3:uid="{FDD857D0-0208-034C-939C-24434E1F906D}" name="SENT_STATUS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1286EF-619A-664A-95E0-6774C5F70921}" name="accounts" displayName="accounts" ref="A1:B13" totalsRowShown="0">
  <autoFilter ref="A1:B13" xr:uid="{A61286EF-619A-664A-95E0-6774C5F70921}"/>
  <tableColumns count="2">
    <tableColumn id="1" xr3:uid="{94350CB3-8AD4-384C-BEA0-64A89AC1AF84}" name="GLAccount"/>
    <tableColumn id="2" xr3:uid="{1DB7413E-4CEA-654E-990A-3CF8BCB07257}" name="Gl Account Name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C5EF-32E0-574E-A721-C7098BE9A2F5}">
  <dimension ref="B5:N598"/>
  <sheetViews>
    <sheetView showGridLines="0" tabSelected="1" workbookViewId="0">
      <selection activeCell="U21" sqref="U21"/>
    </sheetView>
  </sheetViews>
  <sheetFormatPr baseColWidth="10" defaultRowHeight="16"/>
  <cols>
    <col min="1" max="2" width="11" customWidth="1"/>
    <col min="3" max="3" width="12.5" bestFit="1" customWidth="1"/>
    <col min="4" max="4" width="16.6640625" bestFit="1" customWidth="1"/>
    <col min="5" max="6" width="13.6640625" bestFit="1" customWidth="1"/>
    <col min="7" max="8" width="11" customWidth="1"/>
    <col min="9" max="9" width="12.5" bestFit="1" customWidth="1"/>
    <col min="10" max="10" width="13.83203125" bestFit="1" customWidth="1"/>
    <col min="11" max="11" width="16" bestFit="1" customWidth="1"/>
    <col min="12" max="14" width="11" customWidth="1"/>
  </cols>
  <sheetData>
    <row r="5" spans="2:14">
      <c r="B5" t="s">
        <v>50</v>
      </c>
      <c r="I5" t="s">
        <v>47</v>
      </c>
    </row>
    <row r="6" spans="2:14">
      <c r="B6" t="s">
        <v>12</v>
      </c>
      <c r="C6" s="5" t="s">
        <v>13</v>
      </c>
      <c r="D6" t="s">
        <v>14</v>
      </c>
      <c r="E6" t="s">
        <v>34</v>
      </c>
      <c r="F6" s="4" t="s">
        <v>10</v>
      </c>
      <c r="G6" s="4" t="s">
        <v>11</v>
      </c>
      <c r="I6" t="s">
        <v>12</v>
      </c>
      <c r="J6" s="5" t="s">
        <v>13</v>
      </c>
      <c r="K6" t="s">
        <v>14</v>
      </c>
      <c r="L6" t="s">
        <v>34</v>
      </c>
      <c r="M6" s="4" t="s">
        <v>10</v>
      </c>
      <c r="N6" s="4" t="s">
        <v>11</v>
      </c>
    </row>
    <row r="7" spans="2:14">
      <c r="B7">
        <v>595050</v>
      </c>
      <c r="C7" s="5">
        <v>45328</v>
      </c>
      <c r="D7" t="s">
        <v>38</v>
      </c>
      <c r="E7" t="s">
        <v>4</v>
      </c>
      <c r="F7" s="4">
        <v>0.02</v>
      </c>
      <c r="G7" s="4"/>
      <c r="I7">
        <v>595033</v>
      </c>
      <c r="J7" s="5">
        <v>45329</v>
      </c>
      <c r="K7" t="s">
        <v>31</v>
      </c>
      <c r="L7" t="s">
        <v>4</v>
      </c>
      <c r="M7" s="4"/>
      <c r="N7" s="4">
        <v>136.99</v>
      </c>
    </row>
    <row r="8" spans="2:14">
      <c r="B8">
        <v>595049</v>
      </c>
      <c r="C8" s="5">
        <v>45329</v>
      </c>
      <c r="D8" t="s">
        <v>38</v>
      </c>
      <c r="E8" t="s">
        <v>7</v>
      </c>
      <c r="F8" s="4"/>
      <c r="G8" s="4">
        <v>0.02</v>
      </c>
      <c r="I8">
        <v>595034</v>
      </c>
      <c r="J8" s="5">
        <v>45329</v>
      </c>
      <c r="K8" t="s">
        <v>31</v>
      </c>
      <c r="L8" t="s">
        <v>4</v>
      </c>
      <c r="M8" s="4">
        <v>237.45</v>
      </c>
      <c r="N8" s="4"/>
    </row>
    <row r="9" spans="2:14">
      <c r="B9" t="s">
        <v>35</v>
      </c>
      <c r="C9" s="5"/>
      <c r="F9" s="4"/>
      <c r="G9" s="4">
        <f>SUM(account_2105915[Debit])-SUM(account_2105915[Credit])</f>
        <v>0</v>
      </c>
      <c r="I9">
        <v>595040</v>
      </c>
      <c r="J9" s="5">
        <v>45329</v>
      </c>
      <c r="K9" t="s">
        <v>3</v>
      </c>
      <c r="L9" t="s">
        <v>4</v>
      </c>
      <c r="M9" s="4"/>
      <c r="N9" s="4">
        <v>100.46</v>
      </c>
    </row>
    <row r="10" spans="2:14">
      <c r="I10" t="s">
        <v>35</v>
      </c>
      <c r="J10" s="5"/>
      <c r="M10" s="4"/>
      <c r="N10" s="4">
        <f>SUM(account_2105914[Debit])-SUM(account_2105914[Credit])</f>
        <v>0</v>
      </c>
    </row>
    <row r="11" spans="2:14">
      <c r="B11" t="s">
        <v>51</v>
      </c>
    </row>
    <row r="12" spans="2:14">
      <c r="B12" t="s">
        <v>12</v>
      </c>
      <c r="C12" s="5" t="s">
        <v>13</v>
      </c>
      <c r="D12" t="s">
        <v>14</v>
      </c>
      <c r="E12" t="s">
        <v>34</v>
      </c>
      <c r="F12" s="4" t="s">
        <v>10</v>
      </c>
      <c r="G12" s="4" t="s">
        <v>11</v>
      </c>
      <c r="I12" t="s">
        <v>58</v>
      </c>
    </row>
    <row r="13" spans="2:14">
      <c r="B13">
        <v>595050</v>
      </c>
      <c r="C13" s="5">
        <v>45328</v>
      </c>
      <c r="D13" t="s">
        <v>38</v>
      </c>
      <c r="E13" t="s">
        <v>4</v>
      </c>
      <c r="F13" s="4"/>
      <c r="G13" s="4">
        <v>0.02</v>
      </c>
      <c r="I13" t="s">
        <v>12</v>
      </c>
      <c r="J13" s="5" t="s">
        <v>13</v>
      </c>
      <c r="K13" t="s">
        <v>14</v>
      </c>
      <c r="L13" t="s">
        <v>34</v>
      </c>
      <c r="M13" s="4" t="s">
        <v>10</v>
      </c>
      <c r="N13" s="4" t="s">
        <v>11</v>
      </c>
    </row>
    <row r="14" spans="2:14">
      <c r="B14">
        <v>595049</v>
      </c>
      <c r="C14" s="5">
        <v>45329</v>
      </c>
      <c r="D14" t="s">
        <v>38</v>
      </c>
      <c r="E14" t="s">
        <v>7</v>
      </c>
      <c r="F14" s="4">
        <v>0.02</v>
      </c>
      <c r="G14" s="4"/>
      <c r="I14">
        <v>595030</v>
      </c>
      <c r="J14" s="5">
        <v>45328</v>
      </c>
      <c r="K14" t="s">
        <v>46</v>
      </c>
      <c r="L14" t="s">
        <v>4</v>
      </c>
      <c r="M14" s="4"/>
      <c r="N14" s="4">
        <v>1000000</v>
      </c>
    </row>
    <row r="15" spans="2:14">
      <c r="B15" t="s">
        <v>35</v>
      </c>
      <c r="C15" s="5"/>
      <c r="F15" s="4"/>
      <c r="G15" s="4">
        <f>SUM(account_2105916[Debit])-SUM(account_2105916[Credit])</f>
        <v>0</v>
      </c>
      <c r="I15">
        <v>595032</v>
      </c>
      <c r="J15" s="5">
        <v>45329</v>
      </c>
      <c r="K15" t="s">
        <v>45</v>
      </c>
      <c r="L15" t="s">
        <v>4</v>
      </c>
      <c r="M15" s="4">
        <v>1000000</v>
      </c>
      <c r="N15" s="4"/>
    </row>
    <row r="16" spans="2:14">
      <c r="I16" t="s">
        <v>35</v>
      </c>
      <c r="J16" s="5"/>
      <c r="M16" s="4"/>
      <c r="N16" s="4">
        <f>SUM(account_2105909[Debit])-SUM(account_2105909[Credit])</f>
        <v>0</v>
      </c>
    </row>
    <row r="17" spans="2:14">
      <c r="B17" t="s">
        <v>48</v>
      </c>
    </row>
    <row r="18" spans="2:14">
      <c r="B18" t="s">
        <v>12</v>
      </c>
      <c r="C18" s="5" t="s">
        <v>13</v>
      </c>
      <c r="D18" t="s">
        <v>14</v>
      </c>
      <c r="E18" t="s">
        <v>34</v>
      </c>
      <c r="F18" s="4" t="s">
        <v>10</v>
      </c>
      <c r="G18" s="4" t="s">
        <v>11</v>
      </c>
      <c r="I18" t="s">
        <v>59</v>
      </c>
    </row>
    <row r="19" spans="2:14">
      <c r="B19">
        <v>595048</v>
      </c>
      <c r="C19" s="5">
        <v>45328</v>
      </c>
      <c r="D19" t="s">
        <v>41</v>
      </c>
      <c r="E19" t="s">
        <v>4</v>
      </c>
      <c r="F19" s="4">
        <v>237.45</v>
      </c>
      <c r="G19" s="4"/>
      <c r="I19" t="s">
        <v>12</v>
      </c>
      <c r="J19" s="5" t="s">
        <v>13</v>
      </c>
      <c r="K19" t="s">
        <v>14</v>
      </c>
      <c r="L19" t="s">
        <v>34</v>
      </c>
      <c r="M19" s="4" t="s">
        <v>10</v>
      </c>
      <c r="N19" s="4" t="s">
        <v>11</v>
      </c>
    </row>
    <row r="20" spans="2:14">
      <c r="B20">
        <v>595047</v>
      </c>
      <c r="C20" s="5">
        <v>45329</v>
      </c>
      <c r="D20" t="s">
        <v>41</v>
      </c>
      <c r="E20" t="s">
        <v>7</v>
      </c>
      <c r="F20" s="4"/>
      <c r="G20" s="4">
        <v>237.45</v>
      </c>
      <c r="I20">
        <v>595029</v>
      </c>
      <c r="J20" s="5">
        <v>45328</v>
      </c>
      <c r="K20" t="s">
        <v>46</v>
      </c>
      <c r="L20" t="s">
        <v>4</v>
      </c>
      <c r="M20" s="4"/>
      <c r="N20" s="4">
        <v>1000000</v>
      </c>
    </row>
    <row r="21" spans="2:14">
      <c r="B21" t="s">
        <v>35</v>
      </c>
      <c r="C21" s="5"/>
      <c r="F21" s="4"/>
      <c r="G21" s="4">
        <f>SUM(account_2105905[Debit])-SUM(account_2105905[Credit])</f>
        <v>0</v>
      </c>
      <c r="I21">
        <v>595031</v>
      </c>
      <c r="J21" s="5">
        <v>45329</v>
      </c>
      <c r="K21" t="s">
        <v>45</v>
      </c>
      <c r="L21" t="s">
        <v>4</v>
      </c>
      <c r="M21" s="4">
        <v>1000000</v>
      </c>
      <c r="N21" s="4"/>
    </row>
    <row r="22" spans="2:14">
      <c r="I22" t="s">
        <v>35</v>
      </c>
      <c r="J22" s="5"/>
      <c r="M22" s="4"/>
      <c r="N22" s="4">
        <f>SUM(account_2105911[Debit])-SUM(account_2105911[Credit])</f>
        <v>0</v>
      </c>
    </row>
    <row r="23" spans="2:14">
      <c r="B23" t="s">
        <v>52</v>
      </c>
    </row>
    <row r="24" spans="2:14">
      <c r="B24" t="s">
        <v>12</v>
      </c>
      <c r="C24" s="5" t="s">
        <v>13</v>
      </c>
      <c r="D24" t="s">
        <v>14</v>
      </c>
      <c r="E24" t="s">
        <v>34</v>
      </c>
      <c r="F24" s="4" t="s">
        <v>10</v>
      </c>
      <c r="G24" s="4" t="s">
        <v>11</v>
      </c>
      <c r="I24" t="s">
        <v>60</v>
      </c>
    </row>
    <row r="25" spans="2:14">
      <c r="B25">
        <v>595048</v>
      </c>
      <c r="C25" s="5">
        <v>45328</v>
      </c>
      <c r="D25" t="s">
        <v>41</v>
      </c>
      <c r="E25" t="s">
        <v>4</v>
      </c>
      <c r="F25" s="4"/>
      <c r="G25" s="4">
        <v>237.45</v>
      </c>
      <c r="I25" t="s">
        <v>12</v>
      </c>
      <c r="J25" s="5" t="s">
        <v>13</v>
      </c>
      <c r="K25" t="s">
        <v>14</v>
      </c>
      <c r="L25" t="s">
        <v>34</v>
      </c>
      <c r="M25" s="4" t="s">
        <v>10</v>
      </c>
      <c r="N25" s="4" t="s">
        <v>11</v>
      </c>
    </row>
    <row r="26" spans="2:14">
      <c r="B26">
        <v>595034</v>
      </c>
      <c r="C26" s="5">
        <v>45329</v>
      </c>
      <c r="D26" t="s">
        <v>31</v>
      </c>
      <c r="E26" t="s">
        <v>4</v>
      </c>
      <c r="F26" s="4"/>
      <c r="G26" s="4">
        <v>237.45</v>
      </c>
      <c r="I26">
        <v>595030</v>
      </c>
      <c r="J26" s="5">
        <v>45328</v>
      </c>
      <c r="K26" t="s">
        <v>46</v>
      </c>
      <c r="L26" t="s">
        <v>4</v>
      </c>
      <c r="M26" s="4">
        <v>1000000</v>
      </c>
      <c r="N26" s="4"/>
    </row>
    <row r="27" spans="2:14">
      <c r="B27">
        <v>595047</v>
      </c>
      <c r="C27" s="5">
        <v>45329</v>
      </c>
      <c r="D27" t="s">
        <v>41</v>
      </c>
      <c r="E27" t="s">
        <v>7</v>
      </c>
      <c r="F27" s="4">
        <v>237.45</v>
      </c>
      <c r="G27" s="4"/>
      <c r="I27">
        <v>595032</v>
      </c>
      <c r="J27" s="5">
        <v>45329</v>
      </c>
      <c r="K27" t="s">
        <v>45</v>
      </c>
      <c r="L27" t="s">
        <v>4</v>
      </c>
      <c r="M27" s="4"/>
      <c r="N27" s="4">
        <v>1000000</v>
      </c>
    </row>
    <row r="28" spans="2:14">
      <c r="B28" t="s">
        <v>35</v>
      </c>
      <c r="C28" s="5"/>
      <c r="F28" s="4"/>
      <c r="G28" s="4">
        <f>SUM(account_2105906[Debit])-SUM(account_2105906[Credit])</f>
        <v>-237.45</v>
      </c>
      <c r="I28" t="s">
        <v>35</v>
      </c>
      <c r="J28" s="5"/>
      <c r="M28" s="4"/>
      <c r="N28" s="4">
        <f>SUM(account_2105910[Debit])-SUM(account_2105910[Credit])</f>
        <v>0</v>
      </c>
    </row>
    <row r="30" spans="2:14">
      <c r="B30" t="s">
        <v>53</v>
      </c>
      <c r="I30" t="s">
        <v>61</v>
      </c>
    </row>
    <row r="31" spans="2:14">
      <c r="B31" t="s">
        <v>12</v>
      </c>
      <c r="C31" s="5" t="s">
        <v>13</v>
      </c>
      <c r="D31" t="s">
        <v>14</v>
      </c>
      <c r="E31" t="s">
        <v>34</v>
      </c>
      <c r="F31" s="4" t="s">
        <v>10</v>
      </c>
      <c r="G31" s="4" t="s">
        <v>11</v>
      </c>
      <c r="I31" t="s">
        <v>12</v>
      </c>
      <c r="J31" s="5" t="s">
        <v>13</v>
      </c>
      <c r="K31" t="s">
        <v>14</v>
      </c>
      <c r="L31" t="s">
        <v>34</v>
      </c>
      <c r="M31" s="4" t="s">
        <v>10</v>
      </c>
      <c r="N31" s="4" t="s">
        <v>11</v>
      </c>
    </row>
    <row r="32" spans="2:14">
      <c r="B32">
        <v>595046</v>
      </c>
      <c r="C32" s="5">
        <v>45328</v>
      </c>
      <c r="D32" t="s">
        <v>43</v>
      </c>
      <c r="E32" t="s">
        <v>4</v>
      </c>
      <c r="F32" s="4">
        <v>136.99</v>
      </c>
      <c r="G32" s="4"/>
      <c r="I32">
        <v>595029</v>
      </c>
      <c r="J32" s="5">
        <v>45328</v>
      </c>
      <c r="K32" t="s">
        <v>46</v>
      </c>
      <c r="L32" t="s">
        <v>4</v>
      </c>
      <c r="M32" s="4">
        <v>1000000</v>
      </c>
      <c r="N32" s="4"/>
    </row>
    <row r="33" spans="2:14">
      <c r="B33">
        <v>595033</v>
      </c>
      <c r="C33" s="5">
        <v>45329</v>
      </c>
      <c r="D33" t="s">
        <v>31</v>
      </c>
      <c r="E33" t="s">
        <v>4</v>
      </c>
      <c r="F33" s="4">
        <v>136.99</v>
      </c>
      <c r="G33" s="4"/>
      <c r="I33">
        <v>595031</v>
      </c>
      <c r="J33" s="5">
        <v>45329</v>
      </c>
      <c r="K33" t="s">
        <v>45</v>
      </c>
      <c r="L33" t="s">
        <v>4</v>
      </c>
      <c r="M33" s="4"/>
      <c r="N33" s="4">
        <v>1000000</v>
      </c>
    </row>
    <row r="34" spans="2:14">
      <c r="B34">
        <v>595045</v>
      </c>
      <c r="C34" s="5">
        <v>45329</v>
      </c>
      <c r="D34" t="s">
        <v>43</v>
      </c>
      <c r="E34" t="s">
        <v>7</v>
      </c>
      <c r="F34" s="4"/>
      <c r="G34" s="4">
        <v>136.99</v>
      </c>
      <c r="I34" t="s">
        <v>35</v>
      </c>
      <c r="J34" s="5"/>
      <c r="M34" s="4"/>
      <c r="N34" s="4">
        <f>SUM(account_2105912[Debit])-SUM(account_2105912[Credit])</f>
        <v>0</v>
      </c>
    </row>
    <row r="35" spans="2:14">
      <c r="B35" t="s">
        <v>35</v>
      </c>
      <c r="C35" s="5"/>
      <c r="F35" s="4"/>
      <c r="G35" s="4">
        <f>SUM(account_2105907[Debit])-SUM(account_2105907[Credit])</f>
        <v>136.99</v>
      </c>
    </row>
    <row r="36" spans="2:14">
      <c r="I36" t="s">
        <v>32</v>
      </c>
    </row>
    <row r="37" spans="2:14">
      <c r="B37" t="s">
        <v>49</v>
      </c>
      <c r="I37" t="s">
        <v>12</v>
      </c>
      <c r="J37" s="5" t="s">
        <v>13</v>
      </c>
      <c r="K37" t="s">
        <v>14</v>
      </c>
      <c r="L37" t="s">
        <v>34</v>
      </c>
      <c r="M37" s="4" t="s">
        <v>10</v>
      </c>
      <c r="N37" s="4" t="s">
        <v>11</v>
      </c>
    </row>
    <row r="38" spans="2:14">
      <c r="B38" t="s">
        <v>12</v>
      </c>
      <c r="C38" s="5" t="s">
        <v>13</v>
      </c>
      <c r="D38" t="s">
        <v>14</v>
      </c>
      <c r="E38" t="s">
        <v>34</v>
      </c>
      <c r="F38" s="4" t="s">
        <v>10</v>
      </c>
      <c r="G38" s="4" t="s">
        <v>11</v>
      </c>
      <c r="I38">
        <v>595040</v>
      </c>
      <c r="J38" s="5">
        <v>45329</v>
      </c>
      <c r="K38" t="s">
        <v>3</v>
      </c>
      <c r="L38" t="s">
        <v>4</v>
      </c>
      <c r="M38" s="4">
        <v>100.46</v>
      </c>
      <c r="N38" s="4"/>
    </row>
    <row r="39" spans="2:14">
      <c r="B39">
        <v>595046</v>
      </c>
      <c r="C39" s="5">
        <v>45328</v>
      </c>
      <c r="D39" t="s">
        <v>43</v>
      </c>
      <c r="E39" t="s">
        <v>4</v>
      </c>
      <c r="F39" s="4"/>
      <c r="G39" s="4">
        <v>136.99</v>
      </c>
      <c r="I39" t="s">
        <v>35</v>
      </c>
      <c r="J39" s="5"/>
      <c r="M39" s="4"/>
      <c r="N39" s="4">
        <f>SUM(account_2039960[Debit])-SUM(account_2039960[Credit])</f>
        <v>100.46</v>
      </c>
    </row>
    <row r="40" spans="2:14">
      <c r="B40">
        <v>595045</v>
      </c>
      <c r="C40" s="5">
        <v>45329</v>
      </c>
      <c r="D40" t="s">
        <v>43</v>
      </c>
      <c r="E40" t="s">
        <v>7</v>
      </c>
      <c r="F40" s="4">
        <v>136.99</v>
      </c>
      <c r="G40" s="4"/>
    </row>
    <row r="41" spans="2:14">
      <c r="B41" t="s">
        <v>35</v>
      </c>
      <c r="C41" s="5"/>
      <c r="F41" s="4"/>
      <c r="G41" s="4">
        <f>SUM(account_2105908[Debit])-SUM(account_2105908[Credit])</f>
        <v>0</v>
      </c>
    </row>
    <row r="598" spans="4:4">
      <c r="D598" s="2"/>
    </row>
  </sheetData>
  <pageMargins left="0.7" right="0.7" top="0.75" bottom="0.75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1BE1-1E01-AF46-9E06-ACD0A2BB0559}">
  <dimension ref="A10:P23"/>
  <sheetViews>
    <sheetView showGridLines="0" workbookViewId="0">
      <selection activeCell="D32" sqref="D32"/>
    </sheetView>
  </sheetViews>
  <sheetFormatPr baseColWidth="10" defaultRowHeight="16"/>
  <cols>
    <col min="1" max="1" width="17.1640625" bestFit="1" customWidth="1"/>
    <col min="2" max="2" width="16" bestFit="1" customWidth="1"/>
    <col min="3" max="3" width="19.5" bestFit="1" customWidth="1"/>
    <col min="4" max="4" width="11" bestFit="1" customWidth="1"/>
    <col min="5" max="5" width="15" bestFit="1" customWidth="1"/>
    <col min="6" max="6" width="12.6640625" bestFit="1" customWidth="1"/>
    <col min="7" max="7" width="17.6640625" bestFit="1" customWidth="1"/>
    <col min="8" max="8" width="19.1640625" bestFit="1" customWidth="1"/>
    <col min="9" max="9" width="22.33203125" bestFit="1" customWidth="1"/>
    <col min="10" max="10" width="39.6640625" bestFit="1" customWidth="1"/>
    <col min="11" max="11" width="21.1640625" bestFit="1" customWidth="1"/>
    <col min="12" max="12" width="23.6640625" bestFit="1" customWidth="1"/>
    <col min="13" max="13" width="39.6640625" bestFit="1" customWidth="1"/>
    <col min="14" max="14" width="22.5" bestFit="1" customWidth="1"/>
    <col min="15" max="15" width="13" bestFit="1" customWidth="1"/>
    <col min="16" max="16" width="14.6640625" bestFit="1" customWidth="1"/>
  </cols>
  <sheetData>
    <row r="10" spans="1:16">
      <c r="A10" t="s">
        <v>15</v>
      </c>
      <c r="B10" t="s">
        <v>16</v>
      </c>
      <c r="C10" t="s">
        <v>17</v>
      </c>
      <c r="D10" t="s">
        <v>18</v>
      </c>
      <c r="E10" t="s">
        <v>19</v>
      </c>
      <c r="F10" t="s">
        <v>20</v>
      </c>
      <c r="G10" t="s">
        <v>21</v>
      </c>
      <c r="H10" t="s">
        <v>22</v>
      </c>
      <c r="I10" t="s">
        <v>23</v>
      </c>
      <c r="J10" t="s">
        <v>24</v>
      </c>
      <c r="K10" t="s">
        <v>25</v>
      </c>
      <c r="L10" t="s">
        <v>26</v>
      </c>
      <c r="M10" t="s">
        <v>27</v>
      </c>
      <c r="N10" t="s">
        <v>28</v>
      </c>
      <c r="O10" t="s">
        <v>29</v>
      </c>
      <c r="P10" t="s">
        <v>30</v>
      </c>
    </row>
    <row r="11" spans="1:16">
      <c r="A11">
        <v>595050</v>
      </c>
      <c r="B11" t="s">
        <v>4</v>
      </c>
      <c r="C11" t="s">
        <v>38</v>
      </c>
      <c r="D11">
        <v>0.02</v>
      </c>
      <c r="E11">
        <v>0</v>
      </c>
      <c r="F11">
        <v>0</v>
      </c>
      <c r="G11" s="6">
        <v>45328</v>
      </c>
      <c r="H11" t="s">
        <v>5</v>
      </c>
      <c r="I11" s="3">
        <v>2105915</v>
      </c>
      <c r="J11" s="1" t="s">
        <v>39</v>
      </c>
      <c r="K11">
        <v>55250200</v>
      </c>
      <c r="L11">
        <v>2105916</v>
      </c>
      <c r="M11" t="s">
        <v>40</v>
      </c>
      <c r="N11">
        <v>32250000</v>
      </c>
      <c r="P11" t="s">
        <v>4</v>
      </c>
    </row>
    <row r="12" spans="1:16">
      <c r="A12">
        <v>595049</v>
      </c>
      <c r="B12" t="s">
        <v>7</v>
      </c>
      <c r="C12" t="s">
        <v>38</v>
      </c>
      <c r="D12">
        <v>0.02</v>
      </c>
      <c r="E12">
        <v>0</v>
      </c>
      <c r="F12">
        <v>0</v>
      </c>
      <c r="G12" s="6">
        <v>45329</v>
      </c>
      <c r="H12" t="s">
        <v>5</v>
      </c>
      <c r="I12" s="3">
        <v>2105916</v>
      </c>
      <c r="J12" s="1" t="s">
        <v>40</v>
      </c>
      <c r="K12">
        <v>32250000</v>
      </c>
      <c r="L12">
        <v>2105915</v>
      </c>
      <c r="M12" t="s">
        <v>39</v>
      </c>
      <c r="N12">
        <v>55250200</v>
      </c>
      <c r="P12" t="s">
        <v>4</v>
      </c>
    </row>
    <row r="13" spans="1:16">
      <c r="A13">
        <v>595048</v>
      </c>
      <c r="B13" t="s">
        <v>4</v>
      </c>
      <c r="C13" t="s">
        <v>41</v>
      </c>
      <c r="D13">
        <v>237.45</v>
      </c>
      <c r="E13">
        <v>0</v>
      </c>
      <c r="F13">
        <v>0</v>
      </c>
      <c r="G13" s="6">
        <v>45328</v>
      </c>
      <c r="H13" t="s">
        <v>5</v>
      </c>
      <c r="I13" s="3">
        <v>2105905</v>
      </c>
      <c r="J13" s="1" t="s">
        <v>36</v>
      </c>
      <c r="K13">
        <v>24250400</v>
      </c>
      <c r="L13">
        <v>2105906</v>
      </c>
      <c r="M13" t="s">
        <v>42</v>
      </c>
      <c r="N13">
        <v>55250400</v>
      </c>
      <c r="P13" t="s">
        <v>4</v>
      </c>
    </row>
    <row r="14" spans="1:16">
      <c r="A14">
        <v>595047</v>
      </c>
      <c r="B14" t="s">
        <v>7</v>
      </c>
      <c r="C14" t="s">
        <v>41</v>
      </c>
      <c r="D14">
        <v>237.45</v>
      </c>
      <c r="E14">
        <v>0</v>
      </c>
      <c r="F14">
        <v>0</v>
      </c>
      <c r="G14" s="6">
        <v>45329</v>
      </c>
      <c r="H14" t="s">
        <v>5</v>
      </c>
      <c r="I14" s="3">
        <v>2105906</v>
      </c>
      <c r="J14" s="1" t="s">
        <v>42</v>
      </c>
      <c r="K14">
        <v>55250400</v>
      </c>
      <c r="L14">
        <v>2105905</v>
      </c>
      <c r="M14" t="s">
        <v>36</v>
      </c>
      <c r="N14">
        <v>24250400</v>
      </c>
      <c r="P14" t="s">
        <v>4</v>
      </c>
    </row>
    <row r="15" spans="1:16">
      <c r="A15">
        <v>595046</v>
      </c>
      <c r="B15" t="s">
        <v>4</v>
      </c>
      <c r="C15" t="s">
        <v>43</v>
      </c>
      <c r="D15">
        <v>136.99</v>
      </c>
      <c r="E15">
        <v>0</v>
      </c>
      <c r="F15">
        <v>0</v>
      </c>
      <c r="G15" s="6">
        <v>45328</v>
      </c>
      <c r="H15" t="s">
        <v>5</v>
      </c>
      <c r="I15" s="3">
        <v>2105907</v>
      </c>
      <c r="J15" s="1" t="s">
        <v>44</v>
      </c>
      <c r="K15">
        <v>55250600</v>
      </c>
      <c r="L15">
        <v>2105908</v>
      </c>
      <c r="M15" t="s">
        <v>37</v>
      </c>
      <c r="N15">
        <v>32250600</v>
      </c>
      <c r="P15" t="s">
        <v>4</v>
      </c>
    </row>
    <row r="16" spans="1:16">
      <c r="A16">
        <v>595045</v>
      </c>
      <c r="B16" t="s">
        <v>7</v>
      </c>
      <c r="C16" t="s">
        <v>43</v>
      </c>
      <c r="D16">
        <v>136.99</v>
      </c>
      <c r="E16">
        <v>0</v>
      </c>
      <c r="F16">
        <v>0</v>
      </c>
      <c r="G16" s="6">
        <v>45329</v>
      </c>
      <c r="H16" t="s">
        <v>5</v>
      </c>
      <c r="I16" s="3">
        <v>2105908</v>
      </c>
      <c r="J16" s="1" t="s">
        <v>37</v>
      </c>
      <c r="K16">
        <v>32250600</v>
      </c>
      <c r="L16">
        <v>2105907</v>
      </c>
      <c r="M16" t="s">
        <v>44</v>
      </c>
      <c r="N16">
        <v>55250600</v>
      </c>
      <c r="P16" t="s">
        <v>4</v>
      </c>
    </row>
    <row r="17" spans="1:16">
      <c r="A17">
        <v>595034</v>
      </c>
      <c r="B17" t="s">
        <v>4</v>
      </c>
      <c r="C17" t="s">
        <v>31</v>
      </c>
      <c r="D17">
        <v>237.45</v>
      </c>
      <c r="E17">
        <v>0</v>
      </c>
      <c r="F17">
        <v>0</v>
      </c>
      <c r="G17" s="6">
        <v>45329</v>
      </c>
      <c r="H17" t="s">
        <v>5</v>
      </c>
      <c r="I17">
        <v>2105914</v>
      </c>
      <c r="J17" t="s">
        <v>33</v>
      </c>
      <c r="K17">
        <v>29250000</v>
      </c>
      <c r="L17">
        <v>2105906</v>
      </c>
      <c r="M17" t="s">
        <v>42</v>
      </c>
      <c r="N17">
        <v>55250400</v>
      </c>
      <c r="P17" t="s">
        <v>4</v>
      </c>
    </row>
    <row r="18" spans="1:16">
      <c r="A18">
        <v>595033</v>
      </c>
      <c r="B18" t="s">
        <v>4</v>
      </c>
      <c r="C18" t="s">
        <v>31</v>
      </c>
      <c r="D18">
        <v>136.99</v>
      </c>
      <c r="E18">
        <v>0</v>
      </c>
      <c r="F18">
        <v>0</v>
      </c>
      <c r="G18" s="6">
        <v>45329</v>
      </c>
      <c r="H18" t="s">
        <v>5</v>
      </c>
      <c r="I18" s="3">
        <v>2105907</v>
      </c>
      <c r="J18" s="1" t="s">
        <v>44</v>
      </c>
      <c r="K18">
        <v>55250600</v>
      </c>
      <c r="L18">
        <v>2105914</v>
      </c>
      <c r="M18" t="s">
        <v>33</v>
      </c>
      <c r="N18">
        <v>29250000</v>
      </c>
      <c r="P18" t="s">
        <v>4</v>
      </c>
    </row>
    <row r="19" spans="1:16">
      <c r="A19">
        <v>595032</v>
      </c>
      <c r="B19" t="s">
        <v>4</v>
      </c>
      <c r="C19" t="s">
        <v>45</v>
      </c>
      <c r="D19">
        <v>1000000</v>
      </c>
      <c r="E19">
        <v>0</v>
      </c>
      <c r="F19">
        <v>0</v>
      </c>
      <c r="G19" s="6">
        <v>45329</v>
      </c>
      <c r="H19" t="s">
        <v>5</v>
      </c>
      <c r="I19" s="3">
        <v>2105909</v>
      </c>
      <c r="J19" s="1" t="s">
        <v>54</v>
      </c>
      <c r="K19">
        <v>0</v>
      </c>
      <c r="L19">
        <v>2105910</v>
      </c>
      <c r="M19" t="s">
        <v>55</v>
      </c>
      <c r="N19">
        <v>0</v>
      </c>
      <c r="P19" t="s">
        <v>4</v>
      </c>
    </row>
    <row r="20" spans="1:16">
      <c r="A20">
        <v>595031</v>
      </c>
      <c r="B20" t="s">
        <v>4</v>
      </c>
      <c r="C20" t="s">
        <v>45</v>
      </c>
      <c r="D20">
        <v>1000000</v>
      </c>
      <c r="E20">
        <v>0</v>
      </c>
      <c r="F20">
        <v>0</v>
      </c>
      <c r="G20" s="6">
        <v>45329</v>
      </c>
      <c r="H20" t="s">
        <v>5</v>
      </c>
      <c r="I20" s="3">
        <v>2105911</v>
      </c>
      <c r="J20" s="1" t="s">
        <v>56</v>
      </c>
      <c r="K20">
        <v>0</v>
      </c>
      <c r="L20">
        <v>2105912</v>
      </c>
      <c r="M20" t="s">
        <v>57</v>
      </c>
      <c r="N20">
        <v>0</v>
      </c>
      <c r="P20" t="s">
        <v>4</v>
      </c>
    </row>
    <row r="21" spans="1:16">
      <c r="A21">
        <v>595030</v>
      </c>
      <c r="B21" t="s">
        <v>4</v>
      </c>
      <c r="C21" t="s">
        <v>46</v>
      </c>
      <c r="D21">
        <v>1000000</v>
      </c>
      <c r="E21">
        <v>0</v>
      </c>
      <c r="F21">
        <v>0</v>
      </c>
      <c r="G21" s="6">
        <v>45328</v>
      </c>
      <c r="H21" t="s">
        <v>5</v>
      </c>
      <c r="I21" s="3">
        <v>2105910</v>
      </c>
      <c r="J21" s="1" t="s">
        <v>55</v>
      </c>
      <c r="K21">
        <v>0</v>
      </c>
      <c r="L21">
        <v>2105909</v>
      </c>
      <c r="M21" t="s">
        <v>54</v>
      </c>
      <c r="N21">
        <v>0</v>
      </c>
      <c r="P21" t="s">
        <v>4</v>
      </c>
    </row>
    <row r="22" spans="1:16">
      <c r="A22">
        <v>595029</v>
      </c>
      <c r="B22" t="s">
        <v>4</v>
      </c>
      <c r="C22" t="s">
        <v>46</v>
      </c>
      <c r="D22">
        <v>1000000</v>
      </c>
      <c r="E22">
        <v>0</v>
      </c>
      <c r="F22">
        <v>0</v>
      </c>
      <c r="G22" s="6">
        <v>45328</v>
      </c>
      <c r="H22" t="s">
        <v>5</v>
      </c>
      <c r="I22" s="3">
        <v>2105912</v>
      </c>
      <c r="J22" s="1" t="s">
        <v>57</v>
      </c>
      <c r="K22">
        <v>0</v>
      </c>
      <c r="L22">
        <v>2105911</v>
      </c>
      <c r="M22" t="s">
        <v>56</v>
      </c>
      <c r="N22">
        <v>0</v>
      </c>
      <c r="P22" t="s">
        <v>4</v>
      </c>
    </row>
    <row r="23" spans="1:16">
      <c r="A23">
        <v>595040</v>
      </c>
      <c r="B23" t="s">
        <v>4</v>
      </c>
      <c r="C23" t="s">
        <v>3</v>
      </c>
      <c r="D23">
        <v>100.46</v>
      </c>
      <c r="E23">
        <v>1664652</v>
      </c>
      <c r="F23">
        <v>0</v>
      </c>
      <c r="G23" s="6">
        <v>45329</v>
      </c>
      <c r="H23" t="s">
        <v>5</v>
      </c>
      <c r="I23" s="3">
        <v>2039960</v>
      </c>
      <c r="J23" s="1" t="s">
        <v>6</v>
      </c>
      <c r="K23">
        <v>29250000</v>
      </c>
      <c r="L23">
        <v>2105914</v>
      </c>
      <c r="M23" t="s">
        <v>33</v>
      </c>
      <c r="N23">
        <v>29250000</v>
      </c>
      <c r="P23" t="s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B3587-B823-3848-BE52-9664BA7E2829}">
  <dimension ref="A1:H13"/>
  <sheetViews>
    <sheetView showGridLines="0" workbookViewId="0">
      <selection activeCell="A7" sqref="A7"/>
    </sheetView>
  </sheetViews>
  <sheetFormatPr baseColWidth="10" defaultRowHeight="16"/>
  <cols>
    <col min="1" max="1" width="12.83203125" bestFit="1" customWidth="1"/>
    <col min="2" max="2" width="94.33203125" bestFit="1" customWidth="1"/>
    <col min="3" max="3" width="15" customWidth="1"/>
  </cols>
  <sheetData>
    <row r="1" spans="1:8">
      <c r="A1" t="s">
        <v>8</v>
      </c>
      <c r="B1" t="s">
        <v>9</v>
      </c>
      <c r="D1" t="s">
        <v>0</v>
      </c>
      <c r="E1" t="s">
        <v>2</v>
      </c>
      <c r="F1" t="s">
        <v>1</v>
      </c>
      <c r="G1" t="s">
        <v>10</v>
      </c>
      <c r="H1" t="s">
        <v>11</v>
      </c>
    </row>
    <row r="2" spans="1:8">
      <c r="A2">
        <v>2105915</v>
      </c>
      <c r="B2" t="s">
        <v>39</v>
      </c>
    </row>
    <row r="3" spans="1:8">
      <c r="A3">
        <v>2105916</v>
      </c>
      <c r="B3" t="s">
        <v>40</v>
      </c>
    </row>
    <row r="4" spans="1:8">
      <c r="A4">
        <v>2105905</v>
      </c>
      <c r="B4" t="s">
        <v>36</v>
      </c>
    </row>
    <row r="5" spans="1:8">
      <c r="A5">
        <v>2105906</v>
      </c>
      <c r="B5" t="s">
        <v>42</v>
      </c>
    </row>
    <row r="6" spans="1:8">
      <c r="A6">
        <v>2105907</v>
      </c>
      <c r="B6" t="s">
        <v>44</v>
      </c>
    </row>
    <row r="7" spans="1:8">
      <c r="A7">
        <v>2105908</v>
      </c>
      <c r="B7" t="s">
        <v>37</v>
      </c>
    </row>
    <row r="8" spans="1:8">
      <c r="A8">
        <v>2105914</v>
      </c>
      <c r="B8" t="s">
        <v>33</v>
      </c>
    </row>
    <row r="9" spans="1:8">
      <c r="A9">
        <v>2105909</v>
      </c>
      <c r="B9" t="s">
        <v>54</v>
      </c>
    </row>
    <row r="10" spans="1:8">
      <c r="A10">
        <v>2105911</v>
      </c>
      <c r="B10" t="s">
        <v>56</v>
      </c>
    </row>
    <row r="11" spans="1:8">
      <c r="A11">
        <v>2105910</v>
      </c>
      <c r="B11" t="s">
        <v>55</v>
      </c>
    </row>
    <row r="12" spans="1:8">
      <c r="A12">
        <v>2105912</v>
      </c>
      <c r="B12" t="s">
        <v>57</v>
      </c>
    </row>
    <row r="13" spans="1:8">
      <c r="A13">
        <v>2039960</v>
      </c>
      <c r="B13" t="s">
        <v>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3BA1B9A8162F47AEA91E569AE87C8A" ma:contentTypeVersion="6" ma:contentTypeDescription="Create a new document." ma:contentTypeScope="" ma:versionID="f6ff78842bf004c9aeecff5ffdd06539">
  <xsd:schema xmlns:xsd="http://www.w3.org/2001/XMLSchema" xmlns:xs="http://www.w3.org/2001/XMLSchema" xmlns:p="http://schemas.microsoft.com/office/2006/metadata/properties" xmlns:ns2="250afded-fd17-4198-8c04-1a6360746a69" xmlns:ns3="06624ffc-d9f1-4e31-9e7c-851395ff31fb" targetNamespace="http://schemas.microsoft.com/office/2006/metadata/properties" ma:root="true" ma:fieldsID="1c6db7aacba4d8cfa0304d97785174cb" ns2:_="" ns3:_="">
    <xsd:import namespace="250afded-fd17-4198-8c04-1a6360746a69"/>
    <xsd:import namespace="06624ffc-d9f1-4e31-9e7c-851395ff31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0afded-fd17-4198-8c04-1a6360746a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624ffc-d9f1-4e31-9e7c-851395ff31fb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R7BC22JZBTX37WA45HZN5JGI3OLQ5WZ:ms-officescript%3A%2F%2Fonedrive_business_sharinglink%2Fu!aHR0cHM6Ly9kaXNjb3ZlcnliYW5rMzY1LW15LnNoYXJlcG9pbnQuY29tLzp1Oi9nL3BlcnNvbmFsL3BpZXJyZW9vc3RodWl6ZW5fZGlzY292ZXJ5X2JhbmsvRVVuSVozMy13T2RQbHZVbVJ0eTRkdGtCVXNMYzY2Z0ZMRlgxX19MdlEwMUxIdw"/>
</scriptId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55A4FF-CF64-42D5-AEA6-ED32FA31CF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0afded-fd17-4198-8c04-1a6360746a69"/>
    <ds:schemaRef ds:uri="06624ffc-d9f1-4e31-9e7c-851395ff31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59B8486-629A-5B42-A8C8-D41093E4FB68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85E9B3A1-1AA2-4C8B-B75F-FD864631C7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t_accounts</vt:lpstr>
      <vt:lpstr>postings_source</vt:lpstr>
      <vt:lpstr>reference_data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Oosthuizen</dc:creator>
  <cp:lastModifiedBy>Pierre Oosthuizen</cp:lastModifiedBy>
  <dcterms:created xsi:type="dcterms:W3CDTF">2024-01-17T09:12:51Z</dcterms:created>
  <dcterms:modified xsi:type="dcterms:W3CDTF">2024-02-08T08:43:12Z</dcterms:modified>
</cp:coreProperties>
</file>