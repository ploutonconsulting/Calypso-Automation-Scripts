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/>
  <mc:AlternateContent xmlns:mc="http://schemas.openxmlformats.org/markup-compatibility/2006">
    <mc:Choice Requires="x15">
      <x15ac:absPath xmlns:x15ac="http://schemas.microsoft.com/office/spreadsheetml/2010/11/ac" url="/Users/pierreoosthuizen/Development/Projects/plouton/clp_accounting_excel_scripts/excel_scripts/Automated Accounting Postings/"/>
    </mc:Choice>
  </mc:AlternateContent>
  <xr:revisionPtr revIDLastSave="0" documentId="8_{AD8E0DA8-FB97-2749-9785-327977A754BB}" xr6:coauthVersionLast="47" xr6:coauthVersionMax="47" xr10:uidLastSave="{00000000-0000-0000-0000-000000000000}"/>
  <bookViews>
    <workbookView xWindow="0" yWindow="500" windowWidth="38400" windowHeight="21100" activeTab="1" xr2:uid="{69B0D6D4-DC49-2E45-A600-A62C5E051B66}"/>
  </bookViews>
  <sheets>
    <sheet name="t_accounts" sheetId="4" r:id="rId1"/>
    <sheet name="postings_source" sheetId="2" r:id="rId2"/>
    <sheet name="reference_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1" i="4" l="1"/>
  <c r="N31" i="4"/>
  <c r="N16" i="4"/>
  <c r="G685" i="4"/>
  <c r="G353" i="4"/>
  <c r="G18" i="4"/>
</calcChain>
</file>

<file path=xl/sharedStrings.xml><?xml version="1.0" encoding="utf-8"?>
<sst xmlns="http://schemas.openxmlformats.org/spreadsheetml/2006/main" count="1469" uniqueCount="47">
  <si>
    <t>Posting Id</t>
  </si>
  <si>
    <t>Event Type</t>
  </si>
  <si>
    <t>Effective Date</t>
  </si>
  <si>
    <t>NEW</t>
  </si>
  <si>
    <t>REVERSAL</t>
  </si>
  <si>
    <t>GLAccount</t>
  </si>
  <si>
    <t>Gl Account Name</t>
  </si>
  <si>
    <t>Debit</t>
  </si>
  <si>
    <t>Credit</t>
  </si>
  <si>
    <t>PostingId</t>
  </si>
  <si>
    <t>EffectiveDate</t>
  </si>
  <si>
    <t>EventType</t>
  </si>
  <si>
    <t>BO_POSTING_ID</t>
  </si>
  <si>
    <t>POSTING_TYPE</t>
  </si>
  <si>
    <t>BO_POSTING_TYPE</t>
  </si>
  <si>
    <t>AMOUNT</t>
  </si>
  <si>
    <t>TRANSFER_ID</t>
  </si>
  <si>
    <t>LINKED_ID</t>
  </si>
  <si>
    <t>EFFECTIVE_DATE</t>
  </si>
  <si>
    <t>CURRENCY_CODE</t>
  </si>
  <si>
    <t>DEBIT_CLP_ACCOUNT</t>
  </si>
  <si>
    <t>DEBIT_ACCOUNT_NAME</t>
  </si>
  <si>
    <t>DEBIT_GL_ACCOUNT</t>
  </si>
  <si>
    <t>CREDIT_CLP_ACCOUNT</t>
  </si>
  <si>
    <t>CREDIT_ACCOUNT_NAME</t>
  </si>
  <si>
    <t>CREDIT_GL_ACCOUNT</t>
  </si>
  <si>
    <t>SENT_DATE</t>
  </si>
  <si>
    <t>SENT_STATUS</t>
  </si>
  <si>
    <t>Treasury Own Funds</t>
  </si>
  <si>
    <t>PostingType</t>
  </si>
  <si>
    <t>Total</t>
  </si>
  <si>
    <t>2056346 - Treasury Own Funds</t>
  </si>
  <si>
    <t>CST_S_SETTLED</t>
  </si>
  <si>
    <t>SARB Settlement Trading</t>
  </si>
  <si>
    <t>2039960 - SARB Settlement Trading</t>
  </si>
  <si>
    <t>PRINCIPAL</t>
  </si>
  <si>
    <t>TREA_Liquidity Facility - Capital Balance</t>
  </si>
  <si>
    <t>INTEREST</t>
  </si>
  <si>
    <t>TREA_Liquidity Facility - Interest Income/Accrued</t>
  </si>
  <si>
    <t>TREA_Liquidity Facility - Interest Accrued Balance</t>
  </si>
  <si>
    <t>ACCRUAL</t>
  </si>
  <si>
    <t>CAPITALIZE_INTEREST</t>
  </si>
  <si>
    <t>DISCOVERY BANK LIMITED-ZAR-Treasury Own Funds-JHB.MM.TREA.CASH-CallNotice</t>
  </si>
  <si>
    <t>2106903 - DISCOVERY BANK LIMITED-ZAR-Treasury Own Funds-JHB.MM.TREA.CASH-CallNotice</t>
  </si>
  <si>
    <t>2106681 - TREA_Liquidity Facility - Interest Income/Accrued</t>
  </si>
  <si>
    <t>2106682 - TREA_Liquidity Facility - Interest Accrued Balance</t>
  </si>
  <si>
    <t>2106680 - TREA_Liquidity Facility - Capital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</si>
</sst>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Aptos Narrow"/>
      <family val="2"/>
      <scheme val="minor"/>
    </font>
    <font>
      <sz val="12"/>
      <color rgb="FF0000FF"/>
      <name val="Menlo,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3" fontId="0" fillId="0" borderId="0" xfId="0" applyNumberFormat="1"/>
    <xf numFmtId="0" fontId="0" fillId="0" borderId="0" xfId="0" applyFill="1"/>
    <xf numFmtId="0" fontId="0" fillId="0" borderId="0" xfId="0" applyNumberFormat="1" applyFill="1"/>
    <xf numFmtId="1" fontId="0" fillId="0" borderId="0" xfId="0" applyNumberFormat="1" applyFill="1"/>
    <xf numFmtId="2" fontId="0" fillId="0" borderId="0" xfId="0" applyNumberFormat="1" applyFont="1" applyFill="1"/>
  </cellXfs>
  <cellStyles count="1">
    <cellStyle name="Normal" xfId="0" builtinId="0"/>
  </cellStyles>
  <dxfs count="41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2" formatCode="0.00"/>
      <fill>
        <patternFill patternType="none"/>
      </fill>
    </dxf>
    <dxf>
      <numFmt numFmtId="1" formatCode="0"/>
      <fill>
        <patternFill patternType="none"/>
      </fill>
    </dxf>
    <dxf>
      <fill>
        <patternFill patternType="none"/>
      </fill>
    </dxf>
    <dxf>
      <numFmt numFmtId="0" formatCode="General"/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114300</xdr:rowOff>
    </xdr:from>
    <xdr:to>
      <xdr:col>4</xdr:col>
      <xdr:colOff>406400</xdr:colOff>
      <xdr:row>2</xdr:row>
      <xdr:rowOff>88900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94DC4DA-1E82-D5F9-B05A-8710B3D8B1B7}"/>
            </a:ext>
          </a:extLst>
        </xdr:cNvPr>
        <xdr:cNvSpPr txBox="1"/>
      </xdr:nvSpPr>
      <xdr:spPr>
        <a:xfrm>
          <a:off x="889000" y="114300"/>
          <a:ext cx="3416300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800" b="1"/>
            <a:t>T-Bill (MTM)</a:t>
          </a:r>
        </a:p>
      </xdr:txBody>
    </xdr:sp>
    <xdr:clientData/>
  </xdr:twoCellAnchor>
  <xdr:twoCellAnchor>
    <xdr:from>
      <xdr:col>4</xdr:col>
      <xdr:colOff>127000</xdr:colOff>
      <xdr:row>0</xdr:row>
      <xdr:rowOff>165100</xdr:rowOff>
    </xdr:from>
    <xdr:to>
      <xdr:col>5</xdr:col>
      <xdr:colOff>317500</xdr:colOff>
      <xdr:row>2</xdr:row>
      <xdr:rowOff>50800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7DBD2D5D-A55A-8D4B-A172-0EBD6712978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aXNjb3ZlcnliYW5rMzY1LW15LnNoYXJlcG9pbnQuY29tLzp1Oi9nL3BlcnNvbmFsL3BpZXJyZW9vc3RodWl6ZW5fZGlzY292ZXJ5X2JhbmsvRVpWU081LW5zbjlOdnFMMDVCUjZSQTBCRXhsV1FacnlfWVY2LUx3aHlrUm16Zw&quot;}"/>
            </a:ext>
          </a:extLst>
        </xdr:cNvPr>
        <xdr:cNvSpPr/>
      </xdr:nvSpPr>
      <xdr:spPr>
        <a:xfrm>
          <a:off x="4025900" y="165100"/>
          <a:ext cx="1231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/>
            <a:t>ParsePostings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317500</xdr:colOff>
      <xdr:row>1</xdr:row>
      <xdr:rowOff>139700</xdr:rowOff>
    </xdr:from>
    <xdr:to>
      <xdr:col>2</xdr:col>
      <xdr:colOff>660400</xdr:colOff>
      <xdr:row>6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3C577C-DDEE-855A-A454-46DF17666DAC}"/>
            </a:ext>
          </a:extLst>
        </xdr:cNvPr>
        <xdr:cNvSpPr txBox="1"/>
      </xdr:nvSpPr>
      <xdr:spPr>
        <a:xfrm>
          <a:off x="317500" y="342900"/>
          <a:ext cx="2870200" cy="914400"/>
        </a:xfrm>
        <a:prstGeom prst="rect">
          <a:avLst/>
        </a:prstGeom>
        <a:ln w="25400" cap="rnd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rgbClr val="FF0000"/>
              </a:solidFill>
            </a:rPr>
            <a:t>This table must not</a:t>
          </a:r>
          <a:r>
            <a:rPr lang="en-GB" sz="1200" b="1" baseline="0">
              <a:solidFill>
                <a:srgbClr val="FF0000"/>
              </a:solidFill>
            </a:rPr>
            <a:t> be amended in any way other than removing and adding postings. The format is important to allow the script to parse postings correctly.</a:t>
          </a:r>
          <a:endParaRPr lang="en-GB" sz="1200" b="1">
            <a:solidFill>
              <a:srgbClr val="FF0000"/>
            </a:solidFill>
          </a:endParaRPr>
        </a:p>
      </xdr:txBody>
    </xdr:sp>
    <xdr:clientData fPrintsWithSheet="0"/>
  </xdr:twoCellAnchor>
  <xdr:twoCellAnchor>
    <xdr:from>
      <xdr:col>3</xdr:col>
      <xdr:colOff>0</xdr:colOff>
      <xdr:row>2</xdr:row>
      <xdr:rowOff>152400</xdr:rowOff>
    </xdr:from>
    <xdr:to>
      <xdr:col>4</xdr:col>
      <xdr:colOff>584200</xdr:colOff>
      <xdr:row>4</xdr:row>
      <xdr:rowOff>38100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443FCB1-8614-B54A-B420-964A121A94D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aXNjb3ZlcnliYW5rMzY1LW15LnNoYXJlcG9pbnQuY29tLzp1Oi9nL3BlcnNvbmFsL3BpZXJyZW9vc3RodWl6ZW5fZGlzY292ZXJ5X2JhbmsvRWZmb3RmSDBwc05Kc2VXZ1ZoUWhzbWNCWEd5ZXVUTENPTm9LakwwbTUxREtvQQ&quot;}"/>
            </a:ext>
          </a:extLst>
        </xdr:cNvPr>
        <xdr:cNvSpPr/>
      </xdr:nvSpPr>
      <xdr:spPr>
        <a:xfrm>
          <a:off x="4013200" y="558800"/>
          <a:ext cx="14224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/>
            <a:t>Remove_Reversals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4878BA-FBE8-254A-AF3A-EA26B70DDDD5}" name="account_2106903" displayName="account_2106903" ref="B6:G18" totalsRowCount="1">
  <autoFilter ref="B6:G17" xr:uid="{F44878BA-FBE8-254A-AF3A-EA26B70DDDD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7:G17">
    <sortCondition ref="C7:C17"/>
    <sortCondition ref="B7:B17"/>
  </sortState>
  <tableColumns count="6">
    <tableColumn id="1" xr3:uid="{5AD6513C-B257-0F45-BFFE-CD1167DBFBE2}" name="PostingId" totalsRowLabel="Total"/>
    <tableColumn id="2" xr3:uid="{029C92BB-AE53-674C-9F1B-7825B070E267}" name="EffectiveDate"/>
    <tableColumn id="3" xr3:uid="{E652E361-5BD3-E748-94EB-88D862A7189F}" name="EventType"/>
    <tableColumn id="4" xr3:uid="{7899757F-C1BD-8E46-9453-C5E7D23CCB23}" name="PostingType"/>
    <tableColumn id="5" xr3:uid="{D9C0ADBD-5179-E84A-8084-753266AADDFD}" name="Debit" dataDxfId="23" totalsRowDxfId="13"/>
    <tableColumn id="6" xr3:uid="{4C23BA30-2083-2B41-88CA-274CEE4DE31A}" name="Credit" totalsRowFunction="custom" dataDxfId="22" totalsRowDxfId="12">
      <totalsRowFormula>SUM(account_2106903[Debit])-SUM(account_2106903[Credit])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298B443-CA0C-744A-88E0-D284CE9D3F13}" name="account_2106681" displayName="account_2106681" ref="B21:G353" totalsRowCount="1">
  <autoFilter ref="B21:G352" xr:uid="{D298B443-CA0C-744A-88E0-D284CE9D3F13}"/>
  <sortState xmlns:xlrd2="http://schemas.microsoft.com/office/spreadsheetml/2017/richdata2" ref="B22:G352">
    <sortCondition ref="C22:C352"/>
    <sortCondition ref="B22:B352"/>
  </sortState>
  <tableColumns count="6">
    <tableColumn id="1" xr3:uid="{6ABCBAC9-D112-3040-802D-A9CC46576CA0}" name="PostingId" totalsRowLabel="Total"/>
    <tableColumn id="2" xr3:uid="{FF64C5F1-8B64-5640-B00F-2BF91EC5E5C1}" name="EffectiveDate"/>
    <tableColumn id="3" xr3:uid="{17D39BBB-0256-A843-A8E4-F1447ADE552D}" name="EventType"/>
    <tableColumn id="4" xr3:uid="{8DD35D81-2A6A-5E4D-8976-82606CA7DF8C}" name="PostingType"/>
    <tableColumn id="5" xr3:uid="{A52E3D13-71D4-3B40-886E-428918F6D59A}" name="Debit" dataDxfId="2" totalsRowDxfId="3"/>
    <tableColumn id="6" xr3:uid="{E54FDBE0-7F3D-A24D-8346-6B936803691D}" name="Credit" totalsRowFunction="custom" dataDxfId="0" totalsRowDxfId="1">
      <totalsRowFormula>SUM(account_2106681[Debit])-SUM(account_2106681[Credit])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402DA5-906F-C54C-8520-C29C612E691D}" name="account_2106682" displayName="account_2106682" ref="B356:G685" totalsRowCount="1">
  <autoFilter ref="B356:G684" xr:uid="{B5402DA5-906F-C54C-8520-C29C612E691D}">
    <filterColumn colId="2">
      <filters>
        <filter val="INTEREST"/>
      </filters>
    </filterColumn>
  </autoFilter>
  <sortState xmlns:xlrd2="http://schemas.microsoft.com/office/spreadsheetml/2017/richdata2" ref="B357:G684">
    <sortCondition ref="C357:C684"/>
    <sortCondition ref="B357:B684"/>
  </sortState>
  <tableColumns count="6">
    <tableColumn id="1" xr3:uid="{C7B9F95D-E1F3-044E-AF17-6FB18518D769}" name="PostingId" totalsRowLabel="Total"/>
    <tableColumn id="2" xr3:uid="{B01B7AEC-C280-5646-81D7-BEC810F04C43}" name="EffectiveDate"/>
    <tableColumn id="3" xr3:uid="{5DA35EFF-E968-4C43-84E3-7AF3043CABEE}" name="EventType"/>
    <tableColumn id="4" xr3:uid="{62FA507E-F274-114A-8626-5EB33341F529}" name="PostingType"/>
    <tableColumn id="5" xr3:uid="{CE123DA2-B964-4247-BC82-555BA4DD34A8}" name="Debit" dataDxfId="21" totalsRowDxfId="9"/>
    <tableColumn id="6" xr3:uid="{218D3DF2-7DCD-C645-A962-F97B0484B857}" name="Credit" totalsRowFunction="custom" dataDxfId="20" totalsRowDxfId="8">
      <totalsRowFormula>SUM(account_2106682[Debit])-SUM(account_2106682[Credit])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B48D45-0C9D-A54D-A94F-CECC44B3BC02}" name="account_2106680" displayName="account_2106680" ref="I6:N16" totalsRowCount="1">
  <autoFilter ref="I6:N15" xr:uid="{D5B48D45-0C9D-A54D-A94F-CECC44B3BC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7:N15">
    <sortCondition ref="J7:J15"/>
    <sortCondition ref="I7:I15"/>
  </sortState>
  <tableColumns count="6">
    <tableColumn id="1" xr3:uid="{54459BC5-5602-8242-85D6-8E0421B86A1C}" name="PostingId" totalsRowLabel="Total"/>
    <tableColumn id="2" xr3:uid="{9A81A2E1-3A9D-1E41-B749-C3B1AFD1BE0C}" name="EffectiveDate"/>
    <tableColumn id="3" xr3:uid="{91F004A1-600A-364E-A5A2-9859B35A7BD1}" name="EventType"/>
    <tableColumn id="4" xr3:uid="{F580B1B9-4A2B-314A-A6D6-E0587994BFFD}" name="PostingType"/>
    <tableColumn id="5" xr3:uid="{0CDF1001-6536-C24A-9688-27F695127506}" name="Debit" dataDxfId="19" totalsRowDxfId="5"/>
    <tableColumn id="6" xr3:uid="{7223DFAD-0060-9C44-BFDE-07B805ECABF1}" name="Credit" totalsRowFunction="custom" dataDxfId="18" totalsRowDxfId="4">
      <totalsRowFormula>SUM(account_2106680[Debit])-SUM(account_2106680[Credit])</totalsRow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810697-EF4B-7F46-8B34-31C64DCA3C1A}" name="account_2039960" displayName="account_2039960" ref="I19:N31" totalsRowCount="1">
  <autoFilter ref="I19:N30" xr:uid="{ED810697-EF4B-7F46-8B34-31C64DCA3C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20:N30">
    <sortCondition ref="J20:J30"/>
    <sortCondition ref="I20:I30"/>
  </sortState>
  <tableColumns count="6">
    <tableColumn id="1" xr3:uid="{ACEF9239-52BF-884B-B53A-43D700BBCDB8}" name="PostingId" totalsRowLabel="Total"/>
    <tableColumn id="2" xr3:uid="{CF5C4E6D-752A-D741-8835-1D961F1C5FCC}" name="EffectiveDate"/>
    <tableColumn id="3" xr3:uid="{2072D322-8B71-2E46-BEC3-E3C8B9F25EEE}" name="EventType"/>
    <tableColumn id="4" xr3:uid="{4B81251D-4DFB-E746-A272-ABD2C0ECCC91}" name="PostingType"/>
    <tableColumn id="5" xr3:uid="{A9247A6D-5E91-854C-990F-9F357E19B3E2}" name="Debit" dataDxfId="17" totalsRowDxfId="11"/>
    <tableColumn id="6" xr3:uid="{FE39308B-B404-CD49-8762-B4EEE435801C}" name="Credit" totalsRowFunction="custom" dataDxfId="16" totalsRowDxfId="10">
      <totalsRowFormula>SUM(account_2039960[Debit])-SUM(account_2039960[Credit])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CE5805-2AA9-B945-A71C-D4E8868DBAA5}" name="account_2056346" displayName="account_2056346" ref="I34:N41" totalsRowCount="1">
  <autoFilter ref="I34:N40" xr:uid="{E0CE5805-2AA9-B945-A71C-D4E8868DBAA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35:N40">
    <sortCondition ref="J35:J40"/>
    <sortCondition ref="I35:I40"/>
  </sortState>
  <tableColumns count="6">
    <tableColumn id="1" xr3:uid="{3399008F-D575-EA4E-94FA-C9605B56DFF9}" name="PostingId" totalsRowLabel="Total"/>
    <tableColumn id="2" xr3:uid="{C66DB651-5E1D-FA46-90B2-5C2C59940AC7}" name="EffectiveDate"/>
    <tableColumn id="3" xr3:uid="{71A0274A-3B30-5B48-9717-AF73CCE20549}" name="EventType"/>
    <tableColumn id="4" xr3:uid="{235ECCA3-F550-C142-994E-8FC65A6E1690}" name="PostingType"/>
    <tableColumn id="5" xr3:uid="{E4275CE9-F7B5-544C-95E6-49FB10A12B11}" name="Debit" dataDxfId="15" totalsRowDxfId="7"/>
    <tableColumn id="6" xr3:uid="{677B58CF-9917-9342-94DE-CBDB32D36587}" name="Credit" totalsRowFunction="custom" dataDxfId="14" totalsRowDxfId="6">
      <totalsRowFormula>SUM(account_2056346[Debit])-SUM(account_2056346[Credit])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F8140-4167-8C4F-8473-661AF6909159}" name="postings_source" displayName="postings_source" ref="A10:P11" insertRow="1" totalsRowShown="0" dataDxfId="24">
  <autoFilter ref="A10:P11" xr:uid="{830F8140-4167-8C4F-8473-661AF6909159}"/>
  <sortState xmlns:xlrd2="http://schemas.microsoft.com/office/spreadsheetml/2017/richdata2" ref="A11:P11">
    <sortCondition ref="A10:A11"/>
  </sortState>
  <tableColumns count="16">
    <tableColumn id="1" xr3:uid="{A4ECE6A9-4274-FC43-84CE-069794FDFC82}" name="BO_POSTING_ID" dataDxfId="40"/>
    <tableColumn id="2" xr3:uid="{9389BC11-5FFB-A84A-AB80-05CB7E5F79A7}" name="POSTING_TYPE" dataDxfId="39"/>
    <tableColumn id="3" xr3:uid="{C12A8276-6941-E045-BD14-48A718425163}" name="BO_POSTING_TYPE" dataDxfId="38"/>
    <tableColumn id="4" xr3:uid="{7666DF6A-5A31-2F43-8856-12D6C629422A}" name="AMOUNT" dataDxfId="37"/>
    <tableColumn id="5" xr3:uid="{B35D2CCA-8453-FA49-B56C-17992D718EB2}" name="TRANSFER_ID" dataDxfId="36"/>
    <tableColumn id="6" xr3:uid="{FCDF5C5A-9C9B-384F-B955-83A0094CA214}" name="LINKED_ID" dataDxfId="35"/>
    <tableColumn id="7" xr3:uid="{0B543AE7-BFCF-3D4D-B279-003BCA94C0B7}" name="EFFECTIVE_DATE" dataDxfId="34"/>
    <tableColumn id="8" xr3:uid="{F04ADDA0-4E0D-0341-A792-220DD2AAFB4D}" name="CURRENCY_CODE" dataDxfId="33"/>
    <tableColumn id="9" xr3:uid="{78955310-67ED-6F47-8196-A2F67DD69518}" name="DEBIT_CLP_ACCOUNT" dataDxfId="32"/>
    <tableColumn id="10" xr3:uid="{6B1D90D1-B766-F944-BFE6-3D1BE258F3BC}" name="DEBIT_ACCOUNT_NAME" dataDxfId="31"/>
    <tableColumn id="11" xr3:uid="{BA0B5C26-80D2-7B47-8A54-A35154763A91}" name="DEBIT_GL_ACCOUNT" dataDxfId="30"/>
    <tableColumn id="13" xr3:uid="{7AD4C9F9-A7A6-544D-B9C7-F0737384C014}" name="CREDIT_CLP_ACCOUNT" dataDxfId="29"/>
    <tableColumn id="12" xr3:uid="{DFFFFDD8-7113-E64C-B8BC-94BA2A0D34DD}" name="CREDIT_ACCOUNT_NAME" dataDxfId="28"/>
    <tableColumn id="17" xr3:uid="{DE8F7314-4BD6-C040-8DAA-4212C758A833}" name="CREDIT_GL_ACCOUNT" dataDxfId="27"/>
    <tableColumn id="16" xr3:uid="{DA3225A5-D923-664D-B541-87C465B7468C}" name="SENT_DATE" dataDxfId="26"/>
    <tableColumn id="15" xr3:uid="{FDD857D0-0208-034C-939C-24434E1F906D}" name="SENT_STATUS" dataDxfId="25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1286EF-619A-664A-95E0-6774C5F70921}" name="accounts" displayName="accounts" ref="A1:B7" totalsRowShown="0">
  <autoFilter ref="A1:B7" xr:uid="{A61286EF-619A-664A-95E0-6774C5F70921}"/>
  <tableColumns count="2">
    <tableColumn id="1" xr3:uid="{94350CB3-8AD4-384C-BEA0-64A89AC1AF84}" name="GLAccount"/>
    <tableColumn id="2" xr3:uid="{1DB7413E-4CEA-654E-990A-3CF8BCB07257}" name="Gl Account Name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2C5EF-32E0-574E-A721-C7098BE9A2F5}">
  <dimension ref="B5:N1419"/>
  <sheetViews>
    <sheetView showGridLines="0" topLeftCell="A132" workbookViewId="0">
      <selection activeCell="L332" sqref="L332"/>
    </sheetView>
  </sheetViews>
  <sheetFormatPr baseColWidth="10" defaultRowHeight="16"/>
  <cols>
    <col min="1" max="2" width="11" customWidth="1"/>
    <col min="3" max="3" width="12.5" bestFit="1" customWidth="1"/>
    <col min="4" max="4" width="16.6640625" bestFit="1" customWidth="1"/>
    <col min="5" max="6" width="13.6640625" bestFit="1" customWidth="1"/>
    <col min="7" max="8" width="11" customWidth="1"/>
    <col min="9" max="9" width="12.5" bestFit="1" customWidth="1"/>
    <col min="10" max="10" width="13.83203125" bestFit="1" customWidth="1"/>
    <col min="11" max="11" width="16" bestFit="1" customWidth="1"/>
    <col min="12" max="13" width="11" customWidth="1"/>
    <col min="14" max="14" width="11.83203125" bestFit="1" customWidth="1"/>
  </cols>
  <sheetData>
    <row r="5" spans="2:14">
      <c r="B5" t="s">
        <v>43</v>
      </c>
      <c r="I5" t="s">
        <v>46</v>
      </c>
    </row>
    <row r="6" spans="2:14">
      <c r="B6" t="s">
        <v>9</v>
      </c>
      <c r="C6" t="s">
        <v>10</v>
      </c>
      <c r="D6" t="s">
        <v>11</v>
      </c>
      <c r="E6" t="s">
        <v>29</v>
      </c>
      <c r="F6" s="2" t="s">
        <v>7</v>
      </c>
      <c r="G6" s="2" t="s">
        <v>8</v>
      </c>
      <c r="I6" t="s">
        <v>9</v>
      </c>
      <c r="J6" t="s">
        <v>10</v>
      </c>
      <c r="K6" t="s">
        <v>11</v>
      </c>
      <c r="L6" t="s">
        <v>29</v>
      </c>
      <c r="M6" s="2" t="s">
        <v>7</v>
      </c>
      <c r="N6" s="2" t="s">
        <v>8</v>
      </c>
    </row>
    <row r="7" spans="2:14">
      <c r="B7">
        <v>627293</v>
      </c>
      <c r="C7">
        <v>20240425</v>
      </c>
      <c r="D7" t="s">
        <v>32</v>
      </c>
      <c r="E7" t="s">
        <v>3</v>
      </c>
      <c r="F7" s="2">
        <v>166816464</v>
      </c>
      <c r="G7" s="2"/>
      <c r="I7">
        <v>715714</v>
      </c>
      <c r="J7">
        <v>20240425</v>
      </c>
      <c r="K7" t="s">
        <v>35</v>
      </c>
      <c r="L7" t="s">
        <v>3</v>
      </c>
      <c r="M7" s="2">
        <v>166816464</v>
      </c>
      <c r="N7" s="2"/>
    </row>
    <row r="8" spans="2:14">
      <c r="B8">
        <v>658994</v>
      </c>
      <c r="C8">
        <v>20240625</v>
      </c>
      <c r="D8" t="s">
        <v>32</v>
      </c>
      <c r="E8" t="s">
        <v>3</v>
      </c>
      <c r="F8" s="2">
        <v>6164643</v>
      </c>
      <c r="G8" s="2"/>
      <c r="I8">
        <v>631096</v>
      </c>
      <c r="J8">
        <v>20240502</v>
      </c>
      <c r="K8" t="s">
        <v>41</v>
      </c>
      <c r="L8" t="s">
        <v>3</v>
      </c>
      <c r="M8" s="2">
        <v>263935.65999999997</v>
      </c>
      <c r="N8" s="2"/>
    </row>
    <row r="9" spans="2:14">
      <c r="B9">
        <v>664969</v>
      </c>
      <c r="C9">
        <v>20240705</v>
      </c>
      <c r="D9" t="s">
        <v>32</v>
      </c>
      <c r="E9" t="s">
        <v>3</v>
      </c>
      <c r="F9" s="2"/>
      <c r="G9" s="2">
        <v>1139517.2</v>
      </c>
      <c r="I9">
        <v>648205</v>
      </c>
      <c r="J9">
        <v>20240603</v>
      </c>
      <c r="K9" t="s">
        <v>41</v>
      </c>
      <c r="L9" t="s">
        <v>3</v>
      </c>
      <c r="M9" s="2">
        <v>1208472</v>
      </c>
      <c r="N9" s="2"/>
    </row>
    <row r="10" spans="2:14">
      <c r="B10">
        <v>665041</v>
      </c>
      <c r="C10">
        <v>20240705</v>
      </c>
      <c r="D10" t="s">
        <v>32</v>
      </c>
      <c r="E10" t="s">
        <v>3</v>
      </c>
      <c r="F10" s="2">
        <v>4649377</v>
      </c>
      <c r="G10" s="2"/>
      <c r="I10">
        <v>715713</v>
      </c>
      <c r="J10">
        <v>20240625</v>
      </c>
      <c r="K10" t="s">
        <v>35</v>
      </c>
      <c r="L10" t="s">
        <v>3</v>
      </c>
      <c r="M10" s="2">
        <v>6164643</v>
      </c>
      <c r="N10" s="2"/>
    </row>
    <row r="11" spans="2:14">
      <c r="B11">
        <v>699689</v>
      </c>
      <c r="C11">
        <v>20240906</v>
      </c>
      <c r="D11" t="s">
        <v>32</v>
      </c>
      <c r="E11" t="s">
        <v>3</v>
      </c>
      <c r="F11" s="2">
        <v>3021462.8</v>
      </c>
      <c r="G11" s="2"/>
      <c r="I11">
        <v>715715</v>
      </c>
      <c r="J11">
        <v>20240701</v>
      </c>
      <c r="K11" t="s">
        <v>35</v>
      </c>
      <c r="L11" t="s">
        <v>3</v>
      </c>
      <c r="M11" s="2"/>
      <c r="N11" s="2">
        <v>4.1900000000000004</v>
      </c>
    </row>
    <row r="12" spans="2:14">
      <c r="B12">
        <v>715298</v>
      </c>
      <c r="C12">
        <v>20241002</v>
      </c>
      <c r="D12" t="s">
        <v>32</v>
      </c>
      <c r="E12" t="s">
        <v>3</v>
      </c>
      <c r="F12" s="2"/>
      <c r="G12" s="2">
        <v>226230.55</v>
      </c>
      <c r="I12">
        <v>663466</v>
      </c>
      <c r="J12">
        <v>20240702</v>
      </c>
      <c r="K12" t="s">
        <v>41</v>
      </c>
      <c r="L12" t="s">
        <v>3</v>
      </c>
      <c r="M12" s="2">
        <v>1112852.6000000001</v>
      </c>
      <c r="N12" s="2"/>
    </row>
    <row r="13" spans="2:14">
      <c r="B13">
        <v>715299</v>
      </c>
      <c r="C13">
        <v>20241002</v>
      </c>
      <c r="D13" t="s">
        <v>32</v>
      </c>
      <c r="E13" t="s">
        <v>3</v>
      </c>
      <c r="F13" s="2"/>
      <c r="G13" s="2">
        <v>1168857.8999999999</v>
      </c>
      <c r="I13">
        <v>715712</v>
      </c>
      <c r="J13">
        <v>20240705</v>
      </c>
      <c r="K13" t="s">
        <v>35</v>
      </c>
      <c r="L13" t="s">
        <v>3</v>
      </c>
      <c r="M13" s="2">
        <v>4649377</v>
      </c>
      <c r="N13" s="2"/>
    </row>
    <row r="14" spans="2:14">
      <c r="B14">
        <v>715300</v>
      </c>
      <c r="C14">
        <v>20241002</v>
      </c>
      <c r="D14" t="s">
        <v>32</v>
      </c>
      <c r="E14" t="s">
        <v>3</v>
      </c>
      <c r="F14" s="2"/>
      <c r="G14" s="2">
        <v>1240426.5</v>
      </c>
      <c r="I14">
        <v>715711</v>
      </c>
      <c r="J14">
        <v>20240830</v>
      </c>
      <c r="K14" t="s">
        <v>35</v>
      </c>
      <c r="L14" t="s">
        <v>3</v>
      </c>
      <c r="M14" s="2">
        <v>3021462.8</v>
      </c>
      <c r="N14" s="2"/>
    </row>
    <row r="15" spans="2:14">
      <c r="B15">
        <v>715301</v>
      </c>
      <c r="C15">
        <v>20241002</v>
      </c>
      <c r="D15" t="s">
        <v>32</v>
      </c>
      <c r="E15" t="s">
        <v>3</v>
      </c>
      <c r="F15" s="2"/>
      <c r="G15" s="2">
        <v>1245995.8999999999</v>
      </c>
      <c r="I15">
        <v>715710</v>
      </c>
      <c r="J15">
        <v>20240930</v>
      </c>
      <c r="K15" t="s">
        <v>35</v>
      </c>
      <c r="L15" t="s">
        <v>3</v>
      </c>
      <c r="M15" s="2">
        <v>6909968</v>
      </c>
      <c r="N15" s="2"/>
    </row>
    <row r="16" spans="2:14">
      <c r="B16">
        <v>715302</v>
      </c>
      <c r="C16">
        <v>20241002</v>
      </c>
      <c r="D16" t="s">
        <v>32</v>
      </c>
      <c r="E16" t="s">
        <v>3</v>
      </c>
      <c r="F16" s="2"/>
      <c r="G16" s="2">
        <v>1212872.3999999999</v>
      </c>
      <c r="I16" t="s">
        <v>30</v>
      </c>
      <c r="M16" s="2"/>
      <c r="N16" s="2">
        <f>SUM(account_2106680[Debit])-SUM(account_2106680[Credit])</f>
        <v>190147170.87</v>
      </c>
    </row>
    <row r="17" spans="2:14">
      <c r="B17">
        <v>715303</v>
      </c>
      <c r="C17">
        <v>20241002</v>
      </c>
      <c r="D17" t="s">
        <v>32</v>
      </c>
      <c r="E17" t="s">
        <v>3</v>
      </c>
      <c r="F17" s="2">
        <v>6909968</v>
      </c>
      <c r="G17" s="2"/>
    </row>
    <row r="18" spans="2:14">
      <c r="B18" t="s">
        <v>30</v>
      </c>
      <c r="F18" s="2"/>
      <c r="G18" s="2">
        <f>SUM(account_2106903[Debit])-SUM(account_2106903[Credit])</f>
        <v>181328014.35000002</v>
      </c>
      <c r="I18" t="s">
        <v>34</v>
      </c>
    </row>
    <row r="19" spans="2:14">
      <c r="I19" t="s">
        <v>9</v>
      </c>
      <c r="J19" t="s">
        <v>10</v>
      </c>
      <c r="K19" t="s">
        <v>11</v>
      </c>
      <c r="L19" t="s">
        <v>29</v>
      </c>
      <c r="M19" s="2" t="s">
        <v>7</v>
      </c>
      <c r="N19" s="2" t="s">
        <v>8</v>
      </c>
    </row>
    <row r="20" spans="2:14">
      <c r="B20" t="s">
        <v>44</v>
      </c>
      <c r="I20">
        <v>627293</v>
      </c>
      <c r="J20">
        <v>20240425</v>
      </c>
      <c r="K20" t="s">
        <v>32</v>
      </c>
      <c r="L20" t="s">
        <v>3</v>
      </c>
      <c r="M20" s="2"/>
      <c r="N20" s="2">
        <v>166816464</v>
      </c>
    </row>
    <row r="21" spans="2:14">
      <c r="B21" t="s">
        <v>9</v>
      </c>
      <c r="C21" t="s">
        <v>10</v>
      </c>
      <c r="D21" t="s">
        <v>11</v>
      </c>
      <c r="E21" t="s">
        <v>29</v>
      </c>
      <c r="F21" s="2" t="s">
        <v>7</v>
      </c>
      <c r="G21" s="2" t="s">
        <v>8</v>
      </c>
      <c r="I21">
        <v>658994</v>
      </c>
      <c r="J21">
        <v>20240625</v>
      </c>
      <c r="K21" t="s">
        <v>32</v>
      </c>
      <c r="L21" t="s">
        <v>3</v>
      </c>
      <c r="M21" s="2"/>
      <c r="N21" s="2">
        <v>6164643</v>
      </c>
    </row>
    <row r="22" spans="2:14">
      <c r="B22">
        <v>627511</v>
      </c>
      <c r="C22">
        <v>20240425</v>
      </c>
      <c r="D22" t="s">
        <v>40</v>
      </c>
      <c r="E22" t="s">
        <v>3</v>
      </c>
      <c r="F22" s="2"/>
      <c r="G22" s="2">
        <v>37705.089999999997</v>
      </c>
      <c r="I22">
        <v>664969</v>
      </c>
      <c r="J22">
        <v>20240705</v>
      </c>
      <c r="K22" t="s">
        <v>32</v>
      </c>
      <c r="L22" t="s">
        <v>3</v>
      </c>
      <c r="M22" s="2">
        <v>1139517.2</v>
      </c>
      <c r="N22" s="2"/>
    </row>
    <row r="23" spans="2:14">
      <c r="B23">
        <v>627510</v>
      </c>
      <c r="C23">
        <v>20240426</v>
      </c>
      <c r="D23" t="s">
        <v>40</v>
      </c>
      <c r="E23" t="s">
        <v>4</v>
      </c>
      <c r="F23" s="2">
        <v>37705.089999999997</v>
      </c>
      <c r="G23" s="2"/>
      <c r="I23">
        <v>665041</v>
      </c>
      <c r="J23">
        <v>20240705</v>
      </c>
      <c r="K23" t="s">
        <v>32</v>
      </c>
      <c r="L23" t="s">
        <v>3</v>
      </c>
      <c r="M23" s="2"/>
      <c r="N23" s="2">
        <v>4649377</v>
      </c>
    </row>
    <row r="24" spans="2:14">
      <c r="B24">
        <v>628059</v>
      </c>
      <c r="C24">
        <v>20240426</v>
      </c>
      <c r="D24" t="s">
        <v>40</v>
      </c>
      <c r="E24" t="s">
        <v>3</v>
      </c>
      <c r="F24" s="2"/>
      <c r="G24" s="2">
        <v>75410.179999999993</v>
      </c>
      <c r="I24">
        <v>699689</v>
      </c>
      <c r="J24">
        <v>20240906</v>
      </c>
      <c r="K24" t="s">
        <v>32</v>
      </c>
      <c r="L24" t="s">
        <v>3</v>
      </c>
      <c r="M24" s="2"/>
      <c r="N24" s="2">
        <v>3021462.8</v>
      </c>
    </row>
    <row r="25" spans="2:14">
      <c r="B25">
        <v>628058</v>
      </c>
      <c r="C25">
        <v>20240427</v>
      </c>
      <c r="D25" t="s">
        <v>40</v>
      </c>
      <c r="E25" t="s">
        <v>4</v>
      </c>
      <c r="F25" s="2">
        <v>75410.179999999993</v>
      </c>
      <c r="G25" s="2"/>
      <c r="I25">
        <v>715298</v>
      </c>
      <c r="J25">
        <v>20241002</v>
      </c>
      <c r="K25" t="s">
        <v>32</v>
      </c>
      <c r="L25" t="s">
        <v>3</v>
      </c>
      <c r="M25" s="2">
        <v>226230.55</v>
      </c>
      <c r="N25" s="2"/>
    </row>
    <row r="26" spans="2:14">
      <c r="B26">
        <v>628631</v>
      </c>
      <c r="C26">
        <v>20240427</v>
      </c>
      <c r="D26" t="s">
        <v>40</v>
      </c>
      <c r="E26" t="s">
        <v>3</v>
      </c>
      <c r="F26" s="2"/>
      <c r="G26" s="2">
        <v>113115.27</v>
      </c>
      <c r="I26">
        <v>715299</v>
      </c>
      <c r="J26">
        <v>20241002</v>
      </c>
      <c r="K26" t="s">
        <v>32</v>
      </c>
      <c r="L26" t="s">
        <v>3</v>
      </c>
      <c r="M26" s="2">
        <v>1168857.8999999999</v>
      </c>
      <c r="N26" s="2"/>
    </row>
    <row r="27" spans="2:14">
      <c r="B27">
        <v>628630</v>
      </c>
      <c r="C27">
        <v>20240428</v>
      </c>
      <c r="D27" t="s">
        <v>40</v>
      </c>
      <c r="E27" t="s">
        <v>4</v>
      </c>
      <c r="F27" s="2">
        <v>113115.27</v>
      </c>
      <c r="G27" s="2"/>
      <c r="I27">
        <v>715300</v>
      </c>
      <c r="J27">
        <v>20241002</v>
      </c>
      <c r="K27" t="s">
        <v>32</v>
      </c>
      <c r="L27" t="s">
        <v>3</v>
      </c>
      <c r="M27" s="2">
        <v>1240426.5</v>
      </c>
      <c r="N27" s="2"/>
    </row>
    <row r="28" spans="2:14">
      <c r="B28">
        <v>628820</v>
      </c>
      <c r="C28">
        <v>20240428</v>
      </c>
      <c r="D28" t="s">
        <v>40</v>
      </c>
      <c r="E28" t="s">
        <v>3</v>
      </c>
      <c r="F28" s="2"/>
      <c r="G28" s="2">
        <v>150820.35999999999</v>
      </c>
      <c r="I28">
        <v>715301</v>
      </c>
      <c r="J28">
        <v>20241002</v>
      </c>
      <c r="K28" t="s">
        <v>32</v>
      </c>
      <c r="L28" t="s">
        <v>3</v>
      </c>
      <c r="M28" s="2">
        <v>1245995.8999999999</v>
      </c>
      <c r="N28" s="2"/>
    </row>
    <row r="29" spans="2:14">
      <c r="B29">
        <v>628819</v>
      </c>
      <c r="C29">
        <v>20240429</v>
      </c>
      <c r="D29" t="s">
        <v>40</v>
      </c>
      <c r="E29" t="s">
        <v>4</v>
      </c>
      <c r="F29" s="2">
        <v>150820.35999999999</v>
      </c>
      <c r="G29" s="2"/>
      <c r="I29">
        <v>715302</v>
      </c>
      <c r="J29">
        <v>20241002</v>
      </c>
      <c r="K29" t="s">
        <v>32</v>
      </c>
      <c r="L29" t="s">
        <v>3</v>
      </c>
      <c r="M29" s="2">
        <v>1212872.3999999999</v>
      </c>
      <c r="N29" s="2"/>
    </row>
    <row r="30" spans="2:14">
      <c r="B30">
        <v>629281</v>
      </c>
      <c r="C30">
        <v>20240429</v>
      </c>
      <c r="D30" t="s">
        <v>40</v>
      </c>
      <c r="E30" t="s">
        <v>3</v>
      </c>
      <c r="F30" s="2"/>
      <c r="G30" s="2">
        <v>188525.45</v>
      </c>
      <c r="I30">
        <v>715303</v>
      </c>
      <c r="J30">
        <v>20241002</v>
      </c>
      <c r="K30" t="s">
        <v>32</v>
      </c>
      <c r="L30" t="s">
        <v>3</v>
      </c>
      <c r="M30" s="2"/>
      <c r="N30" s="2">
        <v>6909968</v>
      </c>
    </row>
    <row r="31" spans="2:14">
      <c r="B31">
        <v>629280</v>
      </c>
      <c r="C31">
        <v>20240430</v>
      </c>
      <c r="D31" t="s">
        <v>40</v>
      </c>
      <c r="E31" t="s">
        <v>4</v>
      </c>
      <c r="F31" s="2">
        <v>188525.45</v>
      </c>
      <c r="G31" s="2"/>
      <c r="I31" t="s">
        <v>30</v>
      </c>
      <c r="M31" s="2"/>
      <c r="N31" s="2">
        <f>SUM(account_2039960[Debit])-SUM(account_2039960[Credit])</f>
        <v>-181328014.35000002</v>
      </c>
    </row>
    <row r="32" spans="2:14">
      <c r="B32">
        <v>630055</v>
      </c>
      <c r="C32">
        <v>20240430</v>
      </c>
      <c r="D32" t="s">
        <v>40</v>
      </c>
      <c r="E32" t="s">
        <v>3</v>
      </c>
      <c r="F32" s="2"/>
      <c r="G32" s="2">
        <v>226230.55</v>
      </c>
    </row>
    <row r="33" spans="2:14">
      <c r="B33">
        <v>630054</v>
      </c>
      <c r="C33">
        <v>20240501</v>
      </c>
      <c r="D33" t="s">
        <v>40</v>
      </c>
      <c r="E33" t="s">
        <v>4</v>
      </c>
      <c r="F33" s="2">
        <v>226230.55</v>
      </c>
      <c r="G33" s="2"/>
      <c r="I33" t="s">
        <v>31</v>
      </c>
    </row>
    <row r="34" spans="2:14">
      <c r="B34">
        <v>630557</v>
      </c>
      <c r="C34">
        <v>20240501</v>
      </c>
      <c r="D34" t="s">
        <v>40</v>
      </c>
      <c r="E34" t="s">
        <v>3</v>
      </c>
      <c r="F34" s="2"/>
      <c r="G34" s="2">
        <v>263935.62</v>
      </c>
      <c r="I34" t="s">
        <v>9</v>
      </c>
      <c r="J34" t="s">
        <v>10</v>
      </c>
      <c r="K34" t="s">
        <v>11</v>
      </c>
      <c r="L34" t="s">
        <v>29</v>
      </c>
      <c r="M34" s="2" t="s">
        <v>7</v>
      </c>
      <c r="N34" s="2" t="s">
        <v>8</v>
      </c>
    </row>
    <row r="35" spans="2:14">
      <c r="B35">
        <v>715709</v>
      </c>
      <c r="C35">
        <v>20240501</v>
      </c>
      <c r="D35" t="s">
        <v>37</v>
      </c>
      <c r="E35" t="s">
        <v>3</v>
      </c>
      <c r="F35" s="2"/>
      <c r="G35" s="2">
        <v>226230.55</v>
      </c>
      <c r="I35">
        <v>715714</v>
      </c>
      <c r="J35">
        <v>20240425</v>
      </c>
      <c r="K35" t="s">
        <v>35</v>
      </c>
      <c r="L35" t="s">
        <v>3</v>
      </c>
      <c r="M35" s="2"/>
      <c r="N35" s="2">
        <v>166816464</v>
      </c>
    </row>
    <row r="36" spans="2:14">
      <c r="B36">
        <v>630556</v>
      </c>
      <c r="C36">
        <v>20240502</v>
      </c>
      <c r="D36" t="s">
        <v>40</v>
      </c>
      <c r="E36" t="s">
        <v>4</v>
      </c>
      <c r="F36" s="2">
        <v>263935.62</v>
      </c>
      <c r="G36" s="2"/>
      <c r="I36">
        <v>715713</v>
      </c>
      <c r="J36">
        <v>20240625</v>
      </c>
      <c r="K36" t="s">
        <v>35</v>
      </c>
      <c r="L36" t="s">
        <v>3</v>
      </c>
      <c r="M36" s="2"/>
      <c r="N36" s="2">
        <v>6164643</v>
      </c>
    </row>
    <row r="37" spans="2:14">
      <c r="B37">
        <v>631095</v>
      </c>
      <c r="C37">
        <v>20240502</v>
      </c>
      <c r="D37" t="s">
        <v>40</v>
      </c>
      <c r="E37" t="s">
        <v>3</v>
      </c>
      <c r="F37" s="2"/>
      <c r="G37" s="2">
        <v>37764.75</v>
      </c>
      <c r="I37">
        <v>715715</v>
      </c>
      <c r="J37">
        <v>20240701</v>
      </c>
      <c r="K37" t="s">
        <v>35</v>
      </c>
      <c r="L37" t="s">
        <v>3</v>
      </c>
      <c r="M37" s="2">
        <v>4.1900000000000004</v>
      </c>
      <c r="N37" s="2"/>
    </row>
    <row r="38" spans="2:14">
      <c r="B38">
        <v>631096</v>
      </c>
      <c r="C38">
        <v>20240502</v>
      </c>
      <c r="D38" t="s">
        <v>41</v>
      </c>
      <c r="E38" t="s">
        <v>3</v>
      </c>
      <c r="F38" s="2"/>
      <c r="G38" s="2">
        <v>263935.65999999997</v>
      </c>
      <c r="I38">
        <v>715712</v>
      </c>
      <c r="J38">
        <v>20240705</v>
      </c>
      <c r="K38" t="s">
        <v>35</v>
      </c>
      <c r="L38" t="s">
        <v>3</v>
      </c>
      <c r="M38" s="2"/>
      <c r="N38" s="2">
        <v>4649377</v>
      </c>
    </row>
    <row r="39" spans="2:14">
      <c r="B39">
        <v>631094</v>
      </c>
      <c r="C39">
        <v>20240503</v>
      </c>
      <c r="D39" t="s">
        <v>40</v>
      </c>
      <c r="E39" t="s">
        <v>4</v>
      </c>
      <c r="F39" s="2">
        <v>37764.75</v>
      </c>
      <c r="G39" s="2"/>
      <c r="I39">
        <v>715711</v>
      </c>
      <c r="J39">
        <v>20240830</v>
      </c>
      <c r="K39" t="s">
        <v>35</v>
      </c>
      <c r="L39" t="s">
        <v>3</v>
      </c>
      <c r="M39" s="2"/>
      <c r="N39" s="2">
        <v>3021462.8</v>
      </c>
    </row>
    <row r="40" spans="2:14">
      <c r="B40">
        <v>632091</v>
      </c>
      <c r="C40">
        <v>20240503</v>
      </c>
      <c r="D40" t="s">
        <v>40</v>
      </c>
      <c r="E40" t="s">
        <v>3</v>
      </c>
      <c r="F40" s="2"/>
      <c r="G40" s="2">
        <v>75529.5</v>
      </c>
      <c r="I40">
        <v>715710</v>
      </c>
      <c r="J40">
        <v>20240930</v>
      </c>
      <c r="K40" t="s">
        <v>35</v>
      </c>
      <c r="L40" t="s">
        <v>3</v>
      </c>
      <c r="M40" s="2"/>
      <c r="N40" s="2">
        <v>6909968</v>
      </c>
    </row>
    <row r="41" spans="2:14">
      <c r="B41">
        <v>632090</v>
      </c>
      <c r="C41">
        <v>20240504</v>
      </c>
      <c r="D41" t="s">
        <v>40</v>
      </c>
      <c r="E41" t="s">
        <v>4</v>
      </c>
      <c r="F41" s="2">
        <v>75529.5</v>
      </c>
      <c r="G41" s="2"/>
      <c r="I41" t="s">
        <v>30</v>
      </c>
      <c r="M41" s="2"/>
      <c r="N41" s="2">
        <f>SUM(account_2056346[Debit])-SUM(account_2056346[Credit])</f>
        <v>-187561910.61000001</v>
      </c>
    </row>
    <row r="42" spans="2:14">
      <c r="B42">
        <v>633171</v>
      </c>
      <c r="C42">
        <v>20240504</v>
      </c>
      <c r="D42" t="s">
        <v>40</v>
      </c>
      <c r="E42" t="s">
        <v>3</v>
      </c>
      <c r="F42" s="2"/>
      <c r="G42" s="2">
        <v>113294.25</v>
      </c>
    </row>
    <row r="43" spans="2:14">
      <c r="B43">
        <v>633170</v>
      </c>
      <c r="C43">
        <v>20240505</v>
      </c>
      <c r="D43" t="s">
        <v>40</v>
      </c>
      <c r="E43" t="s">
        <v>4</v>
      </c>
      <c r="F43" s="2">
        <v>113294.25</v>
      </c>
      <c r="G43" s="2"/>
    </row>
    <row r="44" spans="2:14">
      <c r="B44">
        <v>633357</v>
      </c>
      <c r="C44">
        <v>20240505</v>
      </c>
      <c r="D44" t="s">
        <v>40</v>
      </c>
      <c r="E44" t="s">
        <v>3</v>
      </c>
      <c r="F44" s="2"/>
      <c r="G44" s="2">
        <v>151059</v>
      </c>
    </row>
    <row r="45" spans="2:14">
      <c r="B45">
        <v>633356</v>
      </c>
      <c r="C45">
        <v>20240506</v>
      </c>
      <c r="D45" t="s">
        <v>40</v>
      </c>
      <c r="E45" t="s">
        <v>4</v>
      </c>
      <c r="F45" s="2">
        <v>151059</v>
      </c>
      <c r="G45" s="2"/>
    </row>
    <row r="46" spans="2:14">
      <c r="B46">
        <v>633797</v>
      </c>
      <c r="C46">
        <v>20240506</v>
      </c>
      <c r="D46" t="s">
        <v>40</v>
      </c>
      <c r="E46" t="s">
        <v>3</v>
      </c>
      <c r="F46" s="2"/>
      <c r="G46" s="2">
        <v>188823.75</v>
      </c>
    </row>
    <row r="47" spans="2:14">
      <c r="B47">
        <v>633796</v>
      </c>
      <c r="C47">
        <v>20240507</v>
      </c>
      <c r="D47" t="s">
        <v>40</v>
      </c>
      <c r="E47" t="s">
        <v>4</v>
      </c>
      <c r="F47" s="2">
        <v>188823.75</v>
      </c>
      <c r="G47" s="2"/>
    </row>
    <row r="48" spans="2:14">
      <c r="B48">
        <v>634607</v>
      </c>
      <c r="C48">
        <v>20240507</v>
      </c>
      <c r="D48" t="s">
        <v>40</v>
      </c>
      <c r="E48" t="s">
        <v>3</v>
      </c>
      <c r="F48" s="2"/>
      <c r="G48" s="2">
        <v>226588.5</v>
      </c>
    </row>
    <row r="49" spans="2:7">
      <c r="B49">
        <v>634606</v>
      </c>
      <c r="C49">
        <v>20240508</v>
      </c>
      <c r="D49" t="s">
        <v>40</v>
      </c>
      <c r="E49" t="s">
        <v>4</v>
      </c>
      <c r="F49" s="2">
        <v>226588.5</v>
      </c>
      <c r="G49" s="2"/>
    </row>
    <row r="50" spans="2:7">
      <c r="B50">
        <v>635103</v>
      </c>
      <c r="C50">
        <v>20240508</v>
      </c>
      <c r="D50" t="s">
        <v>40</v>
      </c>
      <c r="E50" t="s">
        <v>3</v>
      </c>
      <c r="F50" s="2"/>
      <c r="G50" s="2">
        <v>264353.25</v>
      </c>
    </row>
    <row r="51" spans="2:7">
      <c r="B51">
        <v>635102</v>
      </c>
      <c r="C51">
        <v>20240509</v>
      </c>
      <c r="D51" t="s">
        <v>40</v>
      </c>
      <c r="E51" t="s">
        <v>4</v>
      </c>
      <c r="F51" s="2">
        <v>264353.25</v>
      </c>
      <c r="G51" s="2"/>
    </row>
    <row r="52" spans="2:7">
      <c r="B52">
        <v>635507</v>
      </c>
      <c r="C52">
        <v>20240509</v>
      </c>
      <c r="D52" t="s">
        <v>40</v>
      </c>
      <c r="E52" t="s">
        <v>3</v>
      </c>
      <c r="F52" s="2"/>
      <c r="G52" s="2">
        <v>302118</v>
      </c>
    </row>
    <row r="53" spans="2:7">
      <c r="B53">
        <v>635506</v>
      </c>
      <c r="C53">
        <v>20240510</v>
      </c>
      <c r="D53" t="s">
        <v>40</v>
      </c>
      <c r="E53" t="s">
        <v>4</v>
      </c>
      <c r="F53" s="2">
        <v>302118</v>
      </c>
      <c r="G53" s="2"/>
    </row>
    <row r="54" spans="2:7">
      <c r="B54">
        <v>636029</v>
      </c>
      <c r="C54">
        <v>20240510</v>
      </c>
      <c r="D54" t="s">
        <v>40</v>
      </c>
      <c r="E54" t="s">
        <v>3</v>
      </c>
      <c r="F54" s="2"/>
      <c r="G54" s="2">
        <v>339882.75</v>
      </c>
    </row>
    <row r="55" spans="2:7">
      <c r="B55">
        <v>636028</v>
      </c>
      <c r="C55">
        <v>20240511</v>
      </c>
      <c r="D55" t="s">
        <v>40</v>
      </c>
      <c r="E55" t="s">
        <v>4</v>
      </c>
      <c r="F55" s="2">
        <v>339882.75</v>
      </c>
      <c r="G55" s="2"/>
    </row>
    <row r="56" spans="2:7">
      <c r="B56">
        <v>636323</v>
      </c>
      <c r="C56">
        <v>20240511</v>
      </c>
      <c r="D56" t="s">
        <v>40</v>
      </c>
      <c r="E56" t="s">
        <v>3</v>
      </c>
      <c r="F56" s="2"/>
      <c r="G56" s="2">
        <v>377647.5</v>
      </c>
    </row>
    <row r="57" spans="2:7">
      <c r="B57">
        <v>636322</v>
      </c>
      <c r="C57">
        <v>20240512</v>
      </c>
      <c r="D57" t="s">
        <v>40</v>
      </c>
      <c r="E57" t="s">
        <v>4</v>
      </c>
      <c r="F57" s="2">
        <v>377647.5</v>
      </c>
      <c r="G57" s="2"/>
    </row>
    <row r="58" spans="2:7">
      <c r="B58">
        <v>636517</v>
      </c>
      <c r="C58">
        <v>20240512</v>
      </c>
      <c r="D58" t="s">
        <v>40</v>
      </c>
      <c r="E58" t="s">
        <v>3</v>
      </c>
      <c r="F58" s="2"/>
      <c r="G58" s="2">
        <v>415412.25</v>
      </c>
    </row>
    <row r="59" spans="2:7">
      <c r="B59">
        <v>636516</v>
      </c>
      <c r="C59">
        <v>20240513</v>
      </c>
      <c r="D59" t="s">
        <v>40</v>
      </c>
      <c r="E59" t="s">
        <v>4</v>
      </c>
      <c r="F59" s="2">
        <v>415412.25</v>
      </c>
      <c r="G59" s="2"/>
    </row>
    <row r="60" spans="2:7">
      <c r="B60">
        <v>636919</v>
      </c>
      <c r="C60">
        <v>20240513</v>
      </c>
      <c r="D60" t="s">
        <v>40</v>
      </c>
      <c r="E60" t="s">
        <v>3</v>
      </c>
      <c r="F60" s="2"/>
      <c r="G60" s="2">
        <v>453177</v>
      </c>
    </row>
    <row r="61" spans="2:7">
      <c r="B61">
        <v>636918</v>
      </c>
      <c r="C61">
        <v>20240514</v>
      </c>
      <c r="D61" t="s">
        <v>40</v>
      </c>
      <c r="E61" t="s">
        <v>4</v>
      </c>
      <c r="F61" s="2">
        <v>453177</v>
      </c>
      <c r="G61" s="2"/>
    </row>
    <row r="62" spans="2:7">
      <c r="B62">
        <v>637444</v>
      </c>
      <c r="C62">
        <v>20240514</v>
      </c>
      <c r="D62" t="s">
        <v>40</v>
      </c>
      <c r="E62" t="s">
        <v>3</v>
      </c>
      <c r="F62" s="2"/>
      <c r="G62" s="2">
        <v>490941.75</v>
      </c>
    </row>
    <row r="63" spans="2:7">
      <c r="B63">
        <v>637443</v>
      </c>
      <c r="C63">
        <v>20240515</v>
      </c>
      <c r="D63" t="s">
        <v>40</v>
      </c>
      <c r="E63" t="s">
        <v>4</v>
      </c>
      <c r="F63" s="2">
        <v>490941.75</v>
      </c>
      <c r="G63" s="2"/>
    </row>
    <row r="64" spans="2:7">
      <c r="B64">
        <v>638833</v>
      </c>
      <c r="C64">
        <v>20240515</v>
      </c>
      <c r="D64" t="s">
        <v>40</v>
      </c>
      <c r="E64" t="s">
        <v>3</v>
      </c>
      <c r="F64" s="2"/>
      <c r="G64" s="2">
        <v>528706.5</v>
      </c>
    </row>
    <row r="65" spans="2:7">
      <c r="B65">
        <v>638832</v>
      </c>
      <c r="C65">
        <v>20240516</v>
      </c>
      <c r="D65" t="s">
        <v>40</v>
      </c>
      <c r="E65" t="s">
        <v>4</v>
      </c>
      <c r="F65" s="2">
        <v>528706.5</v>
      </c>
      <c r="G65" s="2"/>
    </row>
    <row r="66" spans="2:7">
      <c r="B66">
        <v>639625</v>
      </c>
      <c r="C66">
        <v>20240516</v>
      </c>
      <c r="D66" t="s">
        <v>40</v>
      </c>
      <c r="E66" t="s">
        <v>3</v>
      </c>
      <c r="F66" s="2"/>
      <c r="G66" s="2">
        <v>566471.25</v>
      </c>
    </row>
    <row r="67" spans="2:7">
      <c r="B67">
        <v>639624</v>
      </c>
      <c r="C67">
        <v>20240517</v>
      </c>
      <c r="D67" t="s">
        <v>40</v>
      </c>
      <c r="E67" t="s">
        <v>4</v>
      </c>
      <c r="F67" s="2">
        <v>566471.25</v>
      </c>
      <c r="G67" s="2"/>
    </row>
    <row r="68" spans="2:7">
      <c r="B68">
        <v>640222</v>
      </c>
      <c r="C68">
        <v>20240517</v>
      </c>
      <c r="D68" t="s">
        <v>40</v>
      </c>
      <c r="E68" t="s">
        <v>3</v>
      </c>
      <c r="F68" s="2"/>
      <c r="G68" s="2">
        <v>604236</v>
      </c>
    </row>
    <row r="69" spans="2:7">
      <c r="B69">
        <v>640221</v>
      </c>
      <c r="C69">
        <v>20240518</v>
      </c>
      <c r="D69" t="s">
        <v>40</v>
      </c>
      <c r="E69" t="s">
        <v>4</v>
      </c>
      <c r="F69" s="2">
        <v>604236</v>
      </c>
      <c r="G69" s="2"/>
    </row>
    <row r="70" spans="2:7">
      <c r="B70">
        <v>640684</v>
      </c>
      <c r="C70">
        <v>20240518</v>
      </c>
      <c r="D70" t="s">
        <v>40</v>
      </c>
      <c r="E70" t="s">
        <v>3</v>
      </c>
      <c r="F70" s="2"/>
      <c r="G70" s="2">
        <v>642000.75</v>
      </c>
    </row>
    <row r="71" spans="2:7">
      <c r="B71">
        <v>640683</v>
      </c>
      <c r="C71">
        <v>20240519</v>
      </c>
      <c r="D71" t="s">
        <v>40</v>
      </c>
      <c r="E71" t="s">
        <v>4</v>
      </c>
      <c r="F71" s="2">
        <v>642000.75</v>
      </c>
      <c r="G71" s="2"/>
    </row>
    <row r="72" spans="2:7">
      <c r="B72">
        <v>640880</v>
      </c>
      <c r="C72">
        <v>20240519</v>
      </c>
      <c r="D72" t="s">
        <v>40</v>
      </c>
      <c r="E72" t="s">
        <v>3</v>
      </c>
      <c r="F72" s="2"/>
      <c r="G72" s="2">
        <v>679765.5</v>
      </c>
    </row>
    <row r="73" spans="2:7">
      <c r="B73">
        <v>640879</v>
      </c>
      <c r="C73">
        <v>20240520</v>
      </c>
      <c r="D73" t="s">
        <v>40</v>
      </c>
      <c r="E73" t="s">
        <v>4</v>
      </c>
      <c r="F73" s="2">
        <v>679765.5</v>
      </c>
      <c r="G73" s="2"/>
    </row>
    <row r="74" spans="2:7">
      <c r="B74">
        <v>641232</v>
      </c>
      <c r="C74">
        <v>20240520</v>
      </c>
      <c r="D74" t="s">
        <v>40</v>
      </c>
      <c r="E74" t="s">
        <v>3</v>
      </c>
      <c r="F74" s="2"/>
      <c r="G74" s="2">
        <v>717530.25</v>
      </c>
    </row>
    <row r="75" spans="2:7">
      <c r="B75">
        <v>641231</v>
      </c>
      <c r="C75">
        <v>20240521</v>
      </c>
      <c r="D75" t="s">
        <v>40</v>
      </c>
      <c r="E75" t="s">
        <v>4</v>
      </c>
      <c r="F75" s="2">
        <v>717530.25</v>
      </c>
      <c r="G75" s="2"/>
    </row>
    <row r="76" spans="2:7">
      <c r="B76">
        <v>641880</v>
      </c>
      <c r="C76">
        <v>20240521</v>
      </c>
      <c r="D76" t="s">
        <v>40</v>
      </c>
      <c r="E76" t="s">
        <v>3</v>
      </c>
      <c r="F76" s="2"/>
      <c r="G76" s="2">
        <v>755295</v>
      </c>
    </row>
    <row r="77" spans="2:7">
      <c r="B77">
        <v>641879</v>
      </c>
      <c r="C77">
        <v>20240522</v>
      </c>
      <c r="D77" t="s">
        <v>40</v>
      </c>
      <c r="E77" t="s">
        <v>4</v>
      </c>
      <c r="F77" s="2">
        <v>755295</v>
      </c>
      <c r="G77" s="2"/>
    </row>
    <row r="78" spans="2:7">
      <c r="B78">
        <v>642298</v>
      </c>
      <c r="C78">
        <v>20240522</v>
      </c>
      <c r="D78" t="s">
        <v>40</v>
      </c>
      <c r="E78" t="s">
        <v>3</v>
      </c>
      <c r="F78" s="2"/>
      <c r="G78" s="2">
        <v>793059.75</v>
      </c>
    </row>
    <row r="79" spans="2:7">
      <c r="B79">
        <v>642297</v>
      </c>
      <c r="C79">
        <v>20240523</v>
      </c>
      <c r="D79" t="s">
        <v>40</v>
      </c>
      <c r="E79" t="s">
        <v>4</v>
      </c>
      <c r="F79" s="2">
        <v>793059.75</v>
      </c>
      <c r="G79" s="2"/>
    </row>
    <row r="80" spans="2:7">
      <c r="B80">
        <v>642675</v>
      </c>
      <c r="C80">
        <v>20240523</v>
      </c>
      <c r="D80" t="s">
        <v>40</v>
      </c>
      <c r="E80" t="s">
        <v>3</v>
      </c>
      <c r="F80" s="2"/>
      <c r="G80" s="2">
        <v>830824.5</v>
      </c>
    </row>
    <row r="81" spans="2:7">
      <c r="B81">
        <v>642674</v>
      </c>
      <c r="C81">
        <v>20240524</v>
      </c>
      <c r="D81" t="s">
        <v>40</v>
      </c>
      <c r="E81" t="s">
        <v>4</v>
      </c>
      <c r="F81" s="2">
        <v>830824.5</v>
      </c>
      <c r="G81" s="2"/>
    </row>
    <row r="82" spans="2:7">
      <c r="B82">
        <v>643087</v>
      </c>
      <c r="C82">
        <v>20240524</v>
      </c>
      <c r="D82" t="s">
        <v>40</v>
      </c>
      <c r="E82" t="s">
        <v>3</v>
      </c>
      <c r="F82" s="2"/>
      <c r="G82" s="2">
        <v>868589.25</v>
      </c>
    </row>
    <row r="83" spans="2:7">
      <c r="B83">
        <v>643086</v>
      </c>
      <c r="C83">
        <v>20240525</v>
      </c>
      <c r="D83" t="s">
        <v>40</v>
      </c>
      <c r="E83" t="s">
        <v>4</v>
      </c>
      <c r="F83" s="2">
        <v>868589.25</v>
      </c>
      <c r="G83" s="2"/>
    </row>
    <row r="84" spans="2:7">
      <c r="B84">
        <v>643419</v>
      </c>
      <c r="C84">
        <v>20240525</v>
      </c>
      <c r="D84" t="s">
        <v>40</v>
      </c>
      <c r="E84" t="s">
        <v>3</v>
      </c>
      <c r="F84" s="2"/>
      <c r="G84" s="2">
        <v>906354</v>
      </c>
    </row>
    <row r="85" spans="2:7">
      <c r="B85">
        <v>643418</v>
      </c>
      <c r="C85">
        <v>20240526</v>
      </c>
      <c r="D85" t="s">
        <v>40</v>
      </c>
      <c r="E85" t="s">
        <v>4</v>
      </c>
      <c r="F85" s="2">
        <v>906354</v>
      </c>
      <c r="G85" s="2"/>
    </row>
    <row r="86" spans="2:7">
      <c r="B86">
        <v>643621</v>
      </c>
      <c r="C86">
        <v>20240526</v>
      </c>
      <c r="D86" t="s">
        <v>40</v>
      </c>
      <c r="E86" t="s">
        <v>3</v>
      </c>
      <c r="F86" s="2"/>
      <c r="G86" s="2">
        <v>944118.75</v>
      </c>
    </row>
    <row r="87" spans="2:7">
      <c r="B87">
        <v>643620</v>
      </c>
      <c r="C87">
        <v>20240527</v>
      </c>
      <c r="D87" t="s">
        <v>40</v>
      </c>
      <c r="E87" t="s">
        <v>4</v>
      </c>
      <c r="F87" s="2">
        <v>944118.75</v>
      </c>
      <c r="G87" s="2"/>
    </row>
    <row r="88" spans="2:7">
      <c r="B88">
        <v>644011</v>
      </c>
      <c r="C88">
        <v>20240527</v>
      </c>
      <c r="D88" t="s">
        <v>40</v>
      </c>
      <c r="E88" t="s">
        <v>3</v>
      </c>
      <c r="F88" s="2"/>
      <c r="G88" s="2">
        <v>981883.5</v>
      </c>
    </row>
    <row r="89" spans="2:7">
      <c r="B89">
        <v>644010</v>
      </c>
      <c r="C89">
        <v>20240528</v>
      </c>
      <c r="D89" t="s">
        <v>40</v>
      </c>
      <c r="E89" t="s">
        <v>4</v>
      </c>
      <c r="F89" s="2">
        <v>981883.5</v>
      </c>
      <c r="G89" s="2"/>
    </row>
    <row r="90" spans="2:7">
      <c r="B90">
        <v>644817</v>
      </c>
      <c r="C90">
        <v>20240528</v>
      </c>
      <c r="D90" t="s">
        <v>40</v>
      </c>
      <c r="E90" t="s">
        <v>3</v>
      </c>
      <c r="F90" s="2"/>
      <c r="G90" s="2">
        <v>1019648.25</v>
      </c>
    </row>
    <row r="91" spans="2:7">
      <c r="B91">
        <v>644816</v>
      </c>
      <c r="C91">
        <v>20240529</v>
      </c>
      <c r="D91" t="s">
        <v>40</v>
      </c>
      <c r="E91" t="s">
        <v>4</v>
      </c>
      <c r="F91" s="2">
        <v>1019648.25</v>
      </c>
      <c r="G91" s="2"/>
    </row>
    <row r="92" spans="2:7">
      <c r="B92">
        <v>645350</v>
      </c>
      <c r="C92">
        <v>20240529</v>
      </c>
      <c r="D92" t="s">
        <v>40</v>
      </c>
      <c r="E92" t="s">
        <v>3</v>
      </c>
      <c r="F92" s="2"/>
      <c r="G92" s="2">
        <v>1057413</v>
      </c>
    </row>
    <row r="93" spans="2:7">
      <c r="B93">
        <v>645349</v>
      </c>
      <c r="C93">
        <v>20240530</v>
      </c>
      <c r="D93" t="s">
        <v>40</v>
      </c>
      <c r="E93" t="s">
        <v>4</v>
      </c>
      <c r="F93" s="2">
        <v>1057413</v>
      </c>
      <c r="G93" s="2"/>
    </row>
    <row r="94" spans="2:7">
      <c r="B94">
        <v>645971</v>
      </c>
      <c r="C94">
        <v>20240530</v>
      </c>
      <c r="D94" t="s">
        <v>40</v>
      </c>
      <c r="E94" t="s">
        <v>3</v>
      </c>
      <c r="F94" s="2"/>
      <c r="G94" s="2">
        <v>1095177.8</v>
      </c>
    </row>
    <row r="95" spans="2:7">
      <c r="B95">
        <v>645970</v>
      </c>
      <c r="C95">
        <v>20240531</v>
      </c>
      <c r="D95" t="s">
        <v>40</v>
      </c>
      <c r="E95" t="s">
        <v>4</v>
      </c>
      <c r="F95" s="2">
        <v>1095177.8</v>
      </c>
      <c r="G95" s="2"/>
    </row>
    <row r="96" spans="2:7">
      <c r="B96">
        <v>646953</v>
      </c>
      <c r="C96">
        <v>20240531</v>
      </c>
      <c r="D96" t="s">
        <v>40</v>
      </c>
      <c r="E96" t="s">
        <v>3</v>
      </c>
      <c r="F96" s="2"/>
      <c r="G96" s="2">
        <v>1132942.5</v>
      </c>
    </row>
    <row r="97" spans="2:7">
      <c r="B97">
        <v>646952</v>
      </c>
      <c r="C97">
        <v>20240601</v>
      </c>
      <c r="D97" t="s">
        <v>40</v>
      </c>
      <c r="E97" t="s">
        <v>4</v>
      </c>
      <c r="F97" s="2">
        <v>1132942.5</v>
      </c>
      <c r="G97" s="2"/>
    </row>
    <row r="98" spans="2:7">
      <c r="B98">
        <v>647517</v>
      </c>
      <c r="C98">
        <v>20240601</v>
      </c>
      <c r="D98" t="s">
        <v>40</v>
      </c>
      <c r="E98" t="s">
        <v>3</v>
      </c>
      <c r="F98" s="2"/>
      <c r="G98" s="2">
        <v>1170707.2</v>
      </c>
    </row>
    <row r="99" spans="2:7">
      <c r="B99">
        <v>715708</v>
      </c>
      <c r="C99">
        <v>20240601</v>
      </c>
      <c r="D99" t="s">
        <v>37</v>
      </c>
      <c r="E99" t="s">
        <v>3</v>
      </c>
      <c r="F99" s="2"/>
      <c r="G99" s="2">
        <v>1168857.8999999999</v>
      </c>
    </row>
    <row r="100" spans="2:7">
      <c r="B100">
        <v>647516</v>
      </c>
      <c r="C100">
        <v>20240602</v>
      </c>
      <c r="D100" t="s">
        <v>40</v>
      </c>
      <c r="E100" t="s">
        <v>4</v>
      </c>
      <c r="F100" s="2">
        <v>1170707.2</v>
      </c>
      <c r="G100" s="2"/>
    </row>
    <row r="101" spans="2:7">
      <c r="B101">
        <v>647737</v>
      </c>
      <c r="C101">
        <v>20240602</v>
      </c>
      <c r="D101" t="s">
        <v>40</v>
      </c>
      <c r="E101" t="s">
        <v>3</v>
      </c>
      <c r="F101" s="2"/>
      <c r="G101" s="2">
        <v>1208472</v>
      </c>
    </row>
    <row r="102" spans="2:7">
      <c r="B102">
        <v>647736</v>
      </c>
      <c r="C102">
        <v>20240603</v>
      </c>
      <c r="D102" t="s">
        <v>40</v>
      </c>
      <c r="E102" t="s">
        <v>4</v>
      </c>
      <c r="F102" s="2">
        <v>1208472</v>
      </c>
      <c r="G102" s="2"/>
    </row>
    <row r="103" spans="2:7">
      <c r="B103">
        <v>648204</v>
      </c>
      <c r="C103">
        <v>20240603</v>
      </c>
      <c r="D103" t="s">
        <v>40</v>
      </c>
      <c r="E103" t="s">
        <v>3</v>
      </c>
      <c r="F103" s="2"/>
      <c r="G103" s="2">
        <v>38037.9</v>
      </c>
    </row>
    <row r="104" spans="2:7">
      <c r="B104">
        <v>648205</v>
      </c>
      <c r="C104">
        <v>20240603</v>
      </c>
      <c r="D104" t="s">
        <v>41</v>
      </c>
      <c r="E104" t="s">
        <v>3</v>
      </c>
      <c r="F104" s="2"/>
      <c r="G104" s="2">
        <v>1208472</v>
      </c>
    </row>
    <row r="105" spans="2:7">
      <c r="B105">
        <v>648203</v>
      </c>
      <c r="C105">
        <v>20240604</v>
      </c>
      <c r="D105" t="s">
        <v>40</v>
      </c>
      <c r="E105" t="s">
        <v>4</v>
      </c>
      <c r="F105" s="2">
        <v>38037.9</v>
      </c>
      <c r="G105" s="2"/>
    </row>
    <row r="106" spans="2:7">
      <c r="B106">
        <v>649043</v>
      </c>
      <c r="C106">
        <v>20240604</v>
      </c>
      <c r="D106" t="s">
        <v>40</v>
      </c>
      <c r="E106" t="s">
        <v>3</v>
      </c>
      <c r="F106" s="2"/>
      <c r="G106" s="2">
        <v>76075.789999999994</v>
      </c>
    </row>
    <row r="107" spans="2:7">
      <c r="B107">
        <v>649042</v>
      </c>
      <c r="C107">
        <v>20240605</v>
      </c>
      <c r="D107" t="s">
        <v>40</v>
      </c>
      <c r="E107" t="s">
        <v>4</v>
      </c>
      <c r="F107" s="2">
        <v>76075.789999999994</v>
      </c>
      <c r="G107" s="2"/>
    </row>
    <row r="108" spans="2:7">
      <c r="B108">
        <v>649707</v>
      </c>
      <c r="C108">
        <v>20240605</v>
      </c>
      <c r="D108" t="s">
        <v>40</v>
      </c>
      <c r="E108" t="s">
        <v>3</v>
      </c>
      <c r="F108" s="2"/>
      <c r="G108" s="2">
        <v>114113.69</v>
      </c>
    </row>
    <row r="109" spans="2:7">
      <c r="B109">
        <v>649706</v>
      </c>
      <c r="C109">
        <v>20240606</v>
      </c>
      <c r="D109" t="s">
        <v>40</v>
      </c>
      <c r="E109" t="s">
        <v>4</v>
      </c>
      <c r="F109" s="2">
        <v>114113.69</v>
      </c>
      <c r="G109" s="2"/>
    </row>
    <row r="110" spans="2:7">
      <c r="B110">
        <v>650439</v>
      </c>
      <c r="C110">
        <v>20240606</v>
      </c>
      <c r="D110" t="s">
        <v>40</v>
      </c>
      <c r="E110" t="s">
        <v>3</v>
      </c>
      <c r="F110" s="2"/>
      <c r="G110" s="2">
        <v>152151.6</v>
      </c>
    </row>
    <row r="111" spans="2:7">
      <c r="B111">
        <v>650438</v>
      </c>
      <c r="C111">
        <v>20240607</v>
      </c>
      <c r="D111" t="s">
        <v>40</v>
      </c>
      <c r="E111" t="s">
        <v>4</v>
      </c>
      <c r="F111" s="2">
        <v>152151.6</v>
      </c>
      <c r="G111" s="2"/>
    </row>
    <row r="112" spans="2:7">
      <c r="B112">
        <v>651153</v>
      </c>
      <c r="C112">
        <v>20240607</v>
      </c>
      <c r="D112" t="s">
        <v>40</v>
      </c>
      <c r="E112" t="s">
        <v>3</v>
      </c>
      <c r="F112" s="2"/>
      <c r="G112" s="2">
        <v>190189.48</v>
      </c>
    </row>
    <row r="113" spans="2:7">
      <c r="B113">
        <v>651152</v>
      </c>
      <c r="C113">
        <v>20240608</v>
      </c>
      <c r="D113" t="s">
        <v>40</v>
      </c>
      <c r="E113" t="s">
        <v>4</v>
      </c>
      <c r="F113" s="2">
        <v>190189.48</v>
      </c>
      <c r="G113" s="2"/>
    </row>
    <row r="114" spans="2:7">
      <c r="B114">
        <v>651703</v>
      </c>
      <c r="C114">
        <v>20240608</v>
      </c>
      <c r="D114" t="s">
        <v>40</v>
      </c>
      <c r="E114" t="s">
        <v>3</v>
      </c>
      <c r="F114" s="2"/>
      <c r="G114" s="2">
        <v>228227.38</v>
      </c>
    </row>
    <row r="115" spans="2:7">
      <c r="B115">
        <v>651702</v>
      </c>
      <c r="C115">
        <v>20240609</v>
      </c>
      <c r="D115" t="s">
        <v>40</v>
      </c>
      <c r="E115" t="s">
        <v>4</v>
      </c>
      <c r="F115" s="2">
        <v>228227.38</v>
      </c>
      <c r="G115" s="2"/>
    </row>
    <row r="116" spans="2:7">
      <c r="B116">
        <v>651912</v>
      </c>
      <c r="C116">
        <v>20240609</v>
      </c>
      <c r="D116" t="s">
        <v>40</v>
      </c>
      <c r="E116" t="s">
        <v>3</v>
      </c>
      <c r="F116" s="2"/>
      <c r="G116" s="2">
        <v>266265.28000000003</v>
      </c>
    </row>
    <row r="117" spans="2:7">
      <c r="B117">
        <v>651911</v>
      </c>
      <c r="C117">
        <v>20240610</v>
      </c>
      <c r="D117" t="s">
        <v>40</v>
      </c>
      <c r="E117" t="s">
        <v>4</v>
      </c>
      <c r="F117" s="2">
        <v>266265.28000000003</v>
      </c>
      <c r="G117" s="2"/>
    </row>
    <row r="118" spans="2:7">
      <c r="B118">
        <v>652342</v>
      </c>
      <c r="C118">
        <v>20240610</v>
      </c>
      <c r="D118" t="s">
        <v>40</v>
      </c>
      <c r="E118" t="s">
        <v>3</v>
      </c>
      <c r="F118" s="2"/>
      <c r="G118" s="2">
        <v>304303.2</v>
      </c>
    </row>
    <row r="119" spans="2:7">
      <c r="B119">
        <v>652341</v>
      </c>
      <c r="C119">
        <v>20240611</v>
      </c>
      <c r="D119" t="s">
        <v>40</v>
      </c>
      <c r="E119" t="s">
        <v>4</v>
      </c>
      <c r="F119" s="2">
        <v>304303.2</v>
      </c>
      <c r="G119" s="2"/>
    </row>
    <row r="120" spans="2:7">
      <c r="B120">
        <v>652784</v>
      </c>
      <c r="C120">
        <v>20240611</v>
      </c>
      <c r="D120" t="s">
        <v>40</v>
      </c>
      <c r="E120" t="s">
        <v>3</v>
      </c>
      <c r="F120" s="2"/>
      <c r="G120" s="2">
        <v>342341.06</v>
      </c>
    </row>
    <row r="121" spans="2:7">
      <c r="B121">
        <v>652783</v>
      </c>
      <c r="C121">
        <v>20240612</v>
      </c>
      <c r="D121" t="s">
        <v>40</v>
      </c>
      <c r="E121" t="s">
        <v>4</v>
      </c>
      <c r="F121" s="2">
        <v>342341.06</v>
      </c>
      <c r="G121" s="2"/>
    </row>
    <row r="122" spans="2:7">
      <c r="B122">
        <v>653230</v>
      </c>
      <c r="C122">
        <v>20240612</v>
      </c>
      <c r="D122" t="s">
        <v>40</v>
      </c>
      <c r="E122" t="s">
        <v>3</v>
      </c>
      <c r="F122" s="2"/>
      <c r="G122" s="2">
        <v>380378.97</v>
      </c>
    </row>
    <row r="123" spans="2:7">
      <c r="B123">
        <v>653229</v>
      </c>
      <c r="C123">
        <v>20240613</v>
      </c>
      <c r="D123" t="s">
        <v>40</v>
      </c>
      <c r="E123" t="s">
        <v>4</v>
      </c>
      <c r="F123" s="2">
        <v>380378.97</v>
      </c>
      <c r="G123" s="2"/>
    </row>
    <row r="124" spans="2:7">
      <c r="B124">
        <v>653647</v>
      </c>
      <c r="C124">
        <v>20240613</v>
      </c>
      <c r="D124" t="s">
        <v>40</v>
      </c>
      <c r="E124" t="s">
        <v>3</v>
      </c>
      <c r="F124" s="2"/>
      <c r="G124" s="2">
        <v>418416.88</v>
      </c>
    </row>
    <row r="125" spans="2:7">
      <c r="B125">
        <v>653646</v>
      </c>
      <c r="C125">
        <v>20240614</v>
      </c>
      <c r="D125" t="s">
        <v>40</v>
      </c>
      <c r="E125" t="s">
        <v>4</v>
      </c>
      <c r="F125" s="2">
        <v>418416.88</v>
      </c>
      <c r="G125" s="2"/>
    </row>
    <row r="126" spans="2:7">
      <c r="B126">
        <v>654097</v>
      </c>
      <c r="C126">
        <v>20240614</v>
      </c>
      <c r="D126" t="s">
        <v>40</v>
      </c>
      <c r="E126" t="s">
        <v>3</v>
      </c>
      <c r="F126" s="2"/>
      <c r="G126" s="2">
        <v>456454.78</v>
      </c>
    </row>
    <row r="127" spans="2:7">
      <c r="B127">
        <v>654096</v>
      </c>
      <c r="C127">
        <v>20240615</v>
      </c>
      <c r="D127" t="s">
        <v>40</v>
      </c>
      <c r="E127" t="s">
        <v>4</v>
      </c>
      <c r="F127" s="2">
        <v>456454.78</v>
      </c>
      <c r="G127" s="2"/>
    </row>
    <row r="128" spans="2:7">
      <c r="B128">
        <v>654702</v>
      </c>
      <c r="C128">
        <v>20240615</v>
      </c>
      <c r="D128" t="s">
        <v>40</v>
      </c>
      <c r="E128" t="s">
        <v>3</v>
      </c>
      <c r="F128" s="2"/>
      <c r="G128" s="2">
        <v>494492.66</v>
      </c>
    </row>
    <row r="129" spans="2:7">
      <c r="B129">
        <v>654701</v>
      </c>
      <c r="C129">
        <v>20240616</v>
      </c>
      <c r="D129" t="s">
        <v>40</v>
      </c>
      <c r="E129" t="s">
        <v>4</v>
      </c>
      <c r="F129" s="2">
        <v>494492.66</v>
      </c>
      <c r="G129" s="2"/>
    </row>
    <row r="130" spans="2:7">
      <c r="B130">
        <v>654907</v>
      </c>
      <c r="C130">
        <v>20240616</v>
      </c>
      <c r="D130" t="s">
        <v>40</v>
      </c>
      <c r="E130" t="s">
        <v>3</v>
      </c>
      <c r="F130" s="2"/>
      <c r="G130" s="2">
        <v>532530.56000000006</v>
      </c>
    </row>
    <row r="131" spans="2:7">
      <c r="B131">
        <v>654906</v>
      </c>
      <c r="C131">
        <v>20240617</v>
      </c>
      <c r="D131" t="s">
        <v>40</v>
      </c>
      <c r="E131" t="s">
        <v>4</v>
      </c>
      <c r="F131" s="2">
        <v>532530.56000000006</v>
      </c>
      <c r="G131" s="2"/>
    </row>
    <row r="132" spans="2:7">
      <c r="B132">
        <v>655105</v>
      </c>
      <c r="C132">
        <v>20240617</v>
      </c>
      <c r="D132" t="s">
        <v>40</v>
      </c>
      <c r="E132" t="s">
        <v>3</v>
      </c>
      <c r="F132" s="2"/>
      <c r="G132" s="2">
        <v>570568.43999999994</v>
      </c>
    </row>
    <row r="133" spans="2:7">
      <c r="B133">
        <v>655104</v>
      </c>
      <c r="C133">
        <v>20240618</v>
      </c>
      <c r="D133" t="s">
        <v>40</v>
      </c>
      <c r="E133" t="s">
        <v>4</v>
      </c>
      <c r="F133" s="2">
        <v>570568.43999999994</v>
      </c>
      <c r="G133" s="2"/>
    </row>
    <row r="134" spans="2:7">
      <c r="B134">
        <v>655677</v>
      </c>
      <c r="C134">
        <v>20240618</v>
      </c>
      <c r="D134" t="s">
        <v>40</v>
      </c>
      <c r="E134" t="s">
        <v>3</v>
      </c>
      <c r="F134" s="2"/>
      <c r="G134" s="2">
        <v>608606.4</v>
      </c>
    </row>
    <row r="135" spans="2:7">
      <c r="B135">
        <v>655676</v>
      </c>
      <c r="C135">
        <v>20240619</v>
      </c>
      <c r="D135" t="s">
        <v>40</v>
      </c>
      <c r="E135" t="s">
        <v>4</v>
      </c>
      <c r="F135" s="2">
        <v>608606.4</v>
      </c>
      <c r="G135" s="2"/>
    </row>
    <row r="136" spans="2:7">
      <c r="B136">
        <v>656125</v>
      </c>
      <c r="C136">
        <v>20240619</v>
      </c>
      <c r="D136" t="s">
        <v>40</v>
      </c>
      <c r="E136" t="s">
        <v>3</v>
      </c>
      <c r="F136" s="2"/>
      <c r="G136" s="2">
        <v>646644.25</v>
      </c>
    </row>
    <row r="137" spans="2:7">
      <c r="B137">
        <v>656124</v>
      </c>
      <c r="C137">
        <v>20240620</v>
      </c>
      <c r="D137" t="s">
        <v>40</v>
      </c>
      <c r="E137" t="s">
        <v>4</v>
      </c>
      <c r="F137" s="2">
        <v>646644.25</v>
      </c>
      <c r="G137" s="2"/>
    </row>
    <row r="138" spans="2:7">
      <c r="B138">
        <v>656547</v>
      </c>
      <c r="C138">
        <v>20240620</v>
      </c>
      <c r="D138" t="s">
        <v>40</v>
      </c>
      <c r="E138" t="s">
        <v>3</v>
      </c>
      <c r="F138" s="2"/>
      <c r="G138" s="2">
        <v>684682.1</v>
      </c>
    </row>
    <row r="139" spans="2:7">
      <c r="B139">
        <v>656546</v>
      </c>
      <c r="C139">
        <v>20240621</v>
      </c>
      <c r="D139" t="s">
        <v>40</v>
      </c>
      <c r="E139" t="s">
        <v>4</v>
      </c>
      <c r="F139" s="2">
        <v>684682.1</v>
      </c>
      <c r="G139" s="2"/>
    </row>
    <row r="140" spans="2:7">
      <c r="B140">
        <v>657003</v>
      </c>
      <c r="C140">
        <v>20240621</v>
      </c>
      <c r="D140" t="s">
        <v>40</v>
      </c>
      <c r="E140" t="s">
        <v>3</v>
      </c>
      <c r="F140" s="2"/>
      <c r="G140" s="2">
        <v>722720.06</v>
      </c>
    </row>
    <row r="141" spans="2:7">
      <c r="B141">
        <v>657002</v>
      </c>
      <c r="C141">
        <v>20240622</v>
      </c>
      <c r="D141" t="s">
        <v>40</v>
      </c>
      <c r="E141" t="s">
        <v>4</v>
      </c>
      <c r="F141" s="2">
        <v>722720.06</v>
      </c>
      <c r="G141" s="2"/>
    </row>
    <row r="142" spans="2:7">
      <c r="B142">
        <v>657703</v>
      </c>
      <c r="C142">
        <v>20240622</v>
      </c>
      <c r="D142" t="s">
        <v>40</v>
      </c>
      <c r="E142" t="s">
        <v>3</v>
      </c>
      <c r="F142" s="2"/>
      <c r="G142" s="2">
        <v>760757.94</v>
      </c>
    </row>
    <row r="143" spans="2:7">
      <c r="B143">
        <v>657702</v>
      </c>
      <c r="C143">
        <v>20240623</v>
      </c>
      <c r="D143" t="s">
        <v>40</v>
      </c>
      <c r="E143" t="s">
        <v>4</v>
      </c>
      <c r="F143" s="2">
        <v>760757.94</v>
      </c>
      <c r="G143" s="2"/>
    </row>
    <row r="144" spans="2:7">
      <c r="B144">
        <v>657914</v>
      </c>
      <c r="C144">
        <v>20240623</v>
      </c>
      <c r="D144" t="s">
        <v>40</v>
      </c>
      <c r="E144" t="s">
        <v>3</v>
      </c>
      <c r="F144" s="2"/>
      <c r="G144" s="2">
        <v>798795.8</v>
      </c>
    </row>
    <row r="145" spans="2:7">
      <c r="B145">
        <v>657913</v>
      </c>
      <c r="C145">
        <v>20240624</v>
      </c>
      <c r="D145" t="s">
        <v>40</v>
      </c>
      <c r="E145" t="s">
        <v>4</v>
      </c>
      <c r="F145" s="2">
        <v>798795.8</v>
      </c>
      <c r="G145" s="2"/>
    </row>
    <row r="146" spans="2:7">
      <c r="B146">
        <v>658358</v>
      </c>
      <c r="C146">
        <v>20240624</v>
      </c>
      <c r="D146" t="s">
        <v>40</v>
      </c>
      <c r="E146" t="s">
        <v>3</v>
      </c>
      <c r="F146" s="2"/>
      <c r="G146" s="2">
        <v>836833.75</v>
      </c>
    </row>
    <row r="147" spans="2:7">
      <c r="B147">
        <v>658357</v>
      </c>
      <c r="C147">
        <v>20240625</v>
      </c>
      <c r="D147" t="s">
        <v>40</v>
      </c>
      <c r="E147" t="s">
        <v>4</v>
      </c>
      <c r="F147" s="2">
        <v>836833.75</v>
      </c>
      <c r="G147" s="2"/>
    </row>
    <row r="148" spans="2:7">
      <c r="B148">
        <v>658924</v>
      </c>
      <c r="C148">
        <v>20240625</v>
      </c>
      <c r="D148" t="s">
        <v>40</v>
      </c>
      <c r="E148" t="s">
        <v>3</v>
      </c>
      <c r="F148" s="2"/>
      <c r="G148" s="2">
        <v>876265</v>
      </c>
    </row>
    <row r="149" spans="2:7">
      <c r="B149">
        <v>658923</v>
      </c>
      <c r="C149">
        <v>20240626</v>
      </c>
      <c r="D149" t="s">
        <v>40</v>
      </c>
      <c r="E149" t="s">
        <v>4</v>
      </c>
      <c r="F149" s="2">
        <v>876265</v>
      </c>
      <c r="G149" s="2"/>
    </row>
    <row r="150" spans="2:7">
      <c r="B150">
        <v>659470</v>
      </c>
      <c r="C150">
        <v>20240626</v>
      </c>
      <c r="D150" t="s">
        <v>40</v>
      </c>
      <c r="E150" t="s">
        <v>3</v>
      </c>
      <c r="F150" s="2"/>
      <c r="G150" s="2">
        <v>915696.25</v>
      </c>
    </row>
    <row r="151" spans="2:7">
      <c r="B151">
        <v>659469</v>
      </c>
      <c r="C151">
        <v>20240627</v>
      </c>
      <c r="D151" t="s">
        <v>40</v>
      </c>
      <c r="E151" t="s">
        <v>4</v>
      </c>
      <c r="F151" s="2">
        <v>915696.25</v>
      </c>
      <c r="G151" s="2"/>
    </row>
    <row r="152" spans="2:7">
      <c r="B152">
        <v>660325</v>
      </c>
      <c r="C152">
        <v>20240627</v>
      </c>
      <c r="D152" t="s">
        <v>40</v>
      </c>
      <c r="E152" t="s">
        <v>3</v>
      </c>
      <c r="F152" s="2"/>
      <c r="G152" s="2">
        <v>955127.5</v>
      </c>
    </row>
    <row r="153" spans="2:7">
      <c r="B153">
        <v>660324</v>
      </c>
      <c r="C153">
        <v>20240628</v>
      </c>
      <c r="D153" t="s">
        <v>40</v>
      </c>
      <c r="E153" t="s">
        <v>4</v>
      </c>
      <c r="F153" s="2">
        <v>955127.5</v>
      </c>
      <c r="G153" s="2"/>
    </row>
    <row r="154" spans="2:7">
      <c r="B154">
        <v>661071</v>
      </c>
      <c r="C154">
        <v>20240628</v>
      </c>
      <c r="D154" t="s">
        <v>40</v>
      </c>
      <c r="E154" t="s">
        <v>3</v>
      </c>
      <c r="F154" s="2"/>
      <c r="G154" s="2">
        <v>994558.8</v>
      </c>
    </row>
    <row r="155" spans="2:7">
      <c r="B155">
        <v>661070</v>
      </c>
      <c r="C155">
        <v>20240629</v>
      </c>
      <c r="D155" t="s">
        <v>40</v>
      </c>
      <c r="E155" t="s">
        <v>4</v>
      </c>
      <c r="F155" s="2">
        <v>994558.8</v>
      </c>
      <c r="G155" s="2"/>
    </row>
    <row r="156" spans="2:7">
      <c r="B156">
        <v>661643</v>
      </c>
      <c r="C156">
        <v>20240629</v>
      </c>
      <c r="D156" t="s">
        <v>40</v>
      </c>
      <c r="E156" t="s">
        <v>3</v>
      </c>
      <c r="F156" s="2"/>
      <c r="G156" s="2">
        <v>1033990.06</v>
      </c>
    </row>
    <row r="157" spans="2:7">
      <c r="B157">
        <v>661642</v>
      </c>
      <c r="C157">
        <v>20240630</v>
      </c>
      <c r="D157" t="s">
        <v>40</v>
      </c>
      <c r="E157" t="s">
        <v>4</v>
      </c>
      <c r="F157" s="2">
        <v>1033990.06</v>
      </c>
      <c r="G157" s="2"/>
    </row>
    <row r="158" spans="2:7">
      <c r="B158">
        <v>661866</v>
      </c>
      <c r="C158">
        <v>20240630</v>
      </c>
      <c r="D158" t="s">
        <v>40</v>
      </c>
      <c r="E158" t="s">
        <v>3</v>
      </c>
      <c r="F158" s="2"/>
      <c r="G158" s="2">
        <v>1073421.3999999999</v>
      </c>
    </row>
    <row r="159" spans="2:7">
      <c r="B159">
        <v>661865</v>
      </c>
      <c r="C159">
        <v>20240701</v>
      </c>
      <c r="D159" t="s">
        <v>40</v>
      </c>
      <c r="E159" t="s">
        <v>4</v>
      </c>
      <c r="F159" s="2">
        <v>1073421.3999999999</v>
      </c>
      <c r="G159" s="2"/>
    </row>
    <row r="160" spans="2:7">
      <c r="B160">
        <v>662381</v>
      </c>
      <c r="C160">
        <v>20240701</v>
      </c>
      <c r="D160" t="s">
        <v>40</v>
      </c>
      <c r="E160" t="s">
        <v>3</v>
      </c>
      <c r="F160" s="2"/>
      <c r="G160" s="2">
        <v>1112852.6000000001</v>
      </c>
    </row>
    <row r="161" spans="2:7">
      <c r="B161">
        <v>715707</v>
      </c>
      <c r="C161">
        <v>20240701</v>
      </c>
      <c r="D161" t="s">
        <v>37</v>
      </c>
      <c r="E161" t="s">
        <v>3</v>
      </c>
      <c r="F161" s="2"/>
      <c r="G161" s="2">
        <v>1139513</v>
      </c>
    </row>
    <row r="162" spans="2:7">
      <c r="B162">
        <v>662380</v>
      </c>
      <c r="C162">
        <v>20240702</v>
      </c>
      <c r="D162" t="s">
        <v>40</v>
      </c>
      <c r="E162" t="s">
        <v>4</v>
      </c>
      <c r="F162" s="2">
        <v>1112852.6000000001</v>
      </c>
      <c r="G162" s="2"/>
    </row>
    <row r="163" spans="2:7">
      <c r="B163">
        <v>663465</v>
      </c>
      <c r="C163">
        <v>20240702</v>
      </c>
      <c r="D163" t="s">
        <v>40</v>
      </c>
      <c r="E163" t="s">
        <v>3</v>
      </c>
      <c r="F163" s="2"/>
      <c r="G163" s="2">
        <v>39682.769999999997</v>
      </c>
    </row>
    <row r="164" spans="2:7">
      <c r="B164">
        <v>663466</v>
      </c>
      <c r="C164">
        <v>20240702</v>
      </c>
      <c r="D164" t="s">
        <v>41</v>
      </c>
      <c r="E164" t="s">
        <v>3</v>
      </c>
      <c r="F164" s="2"/>
      <c r="G164" s="2">
        <v>1112852.6000000001</v>
      </c>
    </row>
    <row r="165" spans="2:7">
      <c r="B165">
        <v>663464</v>
      </c>
      <c r="C165">
        <v>20240703</v>
      </c>
      <c r="D165" t="s">
        <v>40</v>
      </c>
      <c r="E165" t="s">
        <v>4</v>
      </c>
      <c r="F165" s="2">
        <v>39682.769999999997</v>
      </c>
      <c r="G165" s="2"/>
    </row>
    <row r="166" spans="2:7">
      <c r="B166">
        <v>664137</v>
      </c>
      <c r="C166">
        <v>20240703</v>
      </c>
      <c r="D166" t="s">
        <v>40</v>
      </c>
      <c r="E166" t="s">
        <v>3</v>
      </c>
      <c r="F166" s="2"/>
      <c r="G166" s="2">
        <v>79365.539999999994</v>
      </c>
    </row>
    <row r="167" spans="2:7">
      <c r="B167">
        <v>664136</v>
      </c>
      <c r="C167">
        <v>20240704</v>
      </c>
      <c r="D167" t="s">
        <v>40</v>
      </c>
      <c r="E167" t="s">
        <v>4</v>
      </c>
      <c r="F167" s="2">
        <v>79365.539999999994</v>
      </c>
      <c r="G167" s="2"/>
    </row>
    <row r="168" spans="2:7">
      <c r="B168">
        <v>664724</v>
      </c>
      <c r="C168">
        <v>20240704</v>
      </c>
      <c r="D168" t="s">
        <v>40</v>
      </c>
      <c r="E168" t="s">
        <v>3</v>
      </c>
      <c r="F168" s="2"/>
      <c r="G168" s="2">
        <v>119048.32000000001</v>
      </c>
    </row>
    <row r="169" spans="2:7">
      <c r="B169">
        <v>664723</v>
      </c>
      <c r="C169">
        <v>20240705</v>
      </c>
      <c r="D169" t="s">
        <v>40</v>
      </c>
      <c r="E169" t="s">
        <v>4</v>
      </c>
      <c r="F169" s="2">
        <v>119048.32000000001</v>
      </c>
      <c r="G169" s="2"/>
    </row>
    <row r="170" spans="2:7">
      <c r="B170">
        <v>665349</v>
      </c>
      <c r="C170">
        <v>20240705</v>
      </c>
      <c r="D170" t="s">
        <v>40</v>
      </c>
      <c r="E170" t="s">
        <v>3</v>
      </c>
      <c r="F170" s="2"/>
      <c r="G170" s="2">
        <v>196543.23</v>
      </c>
    </row>
    <row r="171" spans="2:7">
      <c r="B171">
        <v>665348</v>
      </c>
      <c r="C171">
        <v>20240706</v>
      </c>
      <c r="D171" t="s">
        <v>40</v>
      </c>
      <c r="E171" t="s">
        <v>4</v>
      </c>
      <c r="F171" s="2">
        <v>196543.23</v>
      </c>
      <c r="G171" s="2"/>
    </row>
    <row r="172" spans="2:7">
      <c r="B172">
        <v>666214</v>
      </c>
      <c r="C172">
        <v>20240706</v>
      </c>
      <c r="D172" t="s">
        <v>40</v>
      </c>
      <c r="E172" t="s">
        <v>3</v>
      </c>
      <c r="F172" s="2"/>
      <c r="G172" s="2">
        <v>236692.6</v>
      </c>
    </row>
    <row r="173" spans="2:7">
      <c r="B173">
        <v>666213</v>
      </c>
      <c r="C173">
        <v>20240707</v>
      </c>
      <c r="D173" t="s">
        <v>40</v>
      </c>
      <c r="E173" t="s">
        <v>4</v>
      </c>
      <c r="F173" s="2">
        <v>236692.6</v>
      </c>
      <c r="G173" s="2"/>
    </row>
    <row r="174" spans="2:7">
      <c r="B174">
        <v>666426</v>
      </c>
      <c r="C174">
        <v>20240707</v>
      </c>
      <c r="D174" t="s">
        <v>40</v>
      </c>
      <c r="E174" t="s">
        <v>3</v>
      </c>
      <c r="F174" s="2"/>
      <c r="G174" s="2">
        <v>276841.94</v>
      </c>
    </row>
    <row r="175" spans="2:7">
      <c r="B175">
        <v>666425</v>
      </c>
      <c r="C175">
        <v>20240708</v>
      </c>
      <c r="D175" t="s">
        <v>40</v>
      </c>
      <c r="E175" t="s">
        <v>4</v>
      </c>
      <c r="F175" s="2">
        <v>276841.94</v>
      </c>
      <c r="G175" s="2"/>
    </row>
    <row r="176" spans="2:7">
      <c r="B176">
        <v>666933</v>
      </c>
      <c r="C176">
        <v>20240708</v>
      </c>
      <c r="D176" t="s">
        <v>40</v>
      </c>
      <c r="E176" t="s">
        <v>3</v>
      </c>
      <c r="F176" s="2"/>
      <c r="G176" s="2">
        <v>316991.3</v>
      </c>
    </row>
    <row r="177" spans="2:7">
      <c r="B177">
        <v>666932</v>
      </c>
      <c r="C177">
        <v>20240709</v>
      </c>
      <c r="D177" t="s">
        <v>40</v>
      </c>
      <c r="E177" t="s">
        <v>4</v>
      </c>
      <c r="F177" s="2">
        <v>316991.3</v>
      </c>
      <c r="G177" s="2"/>
    </row>
    <row r="178" spans="2:7">
      <c r="B178">
        <v>667501</v>
      </c>
      <c r="C178">
        <v>20240709</v>
      </c>
      <c r="D178" t="s">
        <v>40</v>
      </c>
      <c r="E178" t="s">
        <v>3</v>
      </c>
      <c r="F178" s="2"/>
      <c r="G178" s="2">
        <v>357140.66</v>
      </c>
    </row>
    <row r="179" spans="2:7">
      <c r="B179">
        <v>667500</v>
      </c>
      <c r="C179">
        <v>20240710</v>
      </c>
      <c r="D179" t="s">
        <v>40</v>
      </c>
      <c r="E179" t="s">
        <v>4</v>
      </c>
      <c r="F179" s="2">
        <v>357140.66</v>
      </c>
      <c r="G179" s="2"/>
    </row>
    <row r="180" spans="2:7">
      <c r="B180">
        <v>667951</v>
      </c>
      <c r="C180">
        <v>20240710</v>
      </c>
      <c r="D180" t="s">
        <v>40</v>
      </c>
      <c r="E180" t="s">
        <v>3</v>
      </c>
      <c r="F180" s="2"/>
      <c r="G180" s="2">
        <v>397290.03</v>
      </c>
    </row>
    <row r="181" spans="2:7">
      <c r="B181">
        <v>667950</v>
      </c>
      <c r="C181">
        <v>20240711</v>
      </c>
      <c r="D181" t="s">
        <v>40</v>
      </c>
      <c r="E181" t="s">
        <v>4</v>
      </c>
      <c r="F181" s="2">
        <v>397290.03</v>
      </c>
      <c r="G181" s="2"/>
    </row>
    <row r="182" spans="2:7">
      <c r="B182">
        <v>668398</v>
      </c>
      <c r="C182">
        <v>20240711</v>
      </c>
      <c r="D182" t="s">
        <v>40</v>
      </c>
      <c r="E182" t="s">
        <v>3</v>
      </c>
      <c r="F182" s="2"/>
      <c r="G182" s="2">
        <v>437439.38</v>
      </c>
    </row>
    <row r="183" spans="2:7">
      <c r="B183">
        <v>668397</v>
      </c>
      <c r="C183">
        <v>20240712</v>
      </c>
      <c r="D183" t="s">
        <v>40</v>
      </c>
      <c r="E183" t="s">
        <v>4</v>
      </c>
      <c r="F183" s="2">
        <v>437439.38</v>
      </c>
      <c r="G183" s="2"/>
    </row>
    <row r="184" spans="2:7">
      <c r="B184">
        <v>668864</v>
      </c>
      <c r="C184">
        <v>20240712</v>
      </c>
      <c r="D184" t="s">
        <v>40</v>
      </c>
      <c r="E184" t="s">
        <v>3</v>
      </c>
      <c r="F184" s="2"/>
      <c r="G184" s="2">
        <v>477588.72</v>
      </c>
    </row>
    <row r="185" spans="2:7">
      <c r="B185">
        <v>668863</v>
      </c>
      <c r="C185">
        <v>20240713</v>
      </c>
      <c r="D185" t="s">
        <v>40</v>
      </c>
      <c r="E185" t="s">
        <v>4</v>
      </c>
      <c r="F185" s="2">
        <v>477588.72</v>
      </c>
      <c r="G185" s="2"/>
    </row>
    <row r="186" spans="2:7">
      <c r="B186">
        <v>669187</v>
      </c>
      <c r="C186">
        <v>20240713</v>
      </c>
      <c r="D186" t="s">
        <v>40</v>
      </c>
      <c r="E186" t="s">
        <v>3</v>
      </c>
      <c r="F186" s="2"/>
      <c r="G186" s="2">
        <v>517738.1</v>
      </c>
    </row>
    <row r="187" spans="2:7">
      <c r="B187">
        <v>669186</v>
      </c>
      <c r="C187">
        <v>20240714</v>
      </c>
      <c r="D187" t="s">
        <v>40</v>
      </c>
      <c r="E187" t="s">
        <v>4</v>
      </c>
      <c r="F187" s="2">
        <v>517738.1</v>
      </c>
      <c r="G187" s="2"/>
    </row>
    <row r="188" spans="2:7">
      <c r="B188">
        <v>669405</v>
      </c>
      <c r="C188">
        <v>20240714</v>
      </c>
      <c r="D188" t="s">
        <v>40</v>
      </c>
      <c r="E188" t="s">
        <v>3</v>
      </c>
      <c r="F188" s="2"/>
      <c r="G188" s="2">
        <v>557887.43999999994</v>
      </c>
    </row>
    <row r="189" spans="2:7">
      <c r="B189">
        <v>669404</v>
      </c>
      <c r="C189">
        <v>20240715</v>
      </c>
      <c r="D189" t="s">
        <v>40</v>
      </c>
      <c r="E189" t="s">
        <v>4</v>
      </c>
      <c r="F189" s="2">
        <v>557887.43999999994</v>
      </c>
      <c r="G189" s="2"/>
    </row>
    <row r="190" spans="2:7">
      <c r="B190">
        <v>669802</v>
      </c>
      <c r="C190">
        <v>20240715</v>
      </c>
      <c r="D190" t="s">
        <v>40</v>
      </c>
      <c r="E190" t="s">
        <v>3</v>
      </c>
      <c r="F190" s="2"/>
      <c r="G190" s="2">
        <v>598036.80000000005</v>
      </c>
    </row>
    <row r="191" spans="2:7">
      <c r="B191">
        <v>669801</v>
      </c>
      <c r="C191">
        <v>20240716</v>
      </c>
      <c r="D191" t="s">
        <v>40</v>
      </c>
      <c r="E191" t="s">
        <v>4</v>
      </c>
      <c r="F191" s="2">
        <v>598036.80000000005</v>
      </c>
      <c r="G191" s="2"/>
    </row>
    <row r="192" spans="2:7">
      <c r="B192">
        <v>670258</v>
      </c>
      <c r="C192">
        <v>20240716</v>
      </c>
      <c r="D192" t="s">
        <v>40</v>
      </c>
      <c r="E192" t="s">
        <v>3</v>
      </c>
      <c r="F192" s="2"/>
      <c r="G192" s="2">
        <v>638186.19999999995</v>
      </c>
    </row>
    <row r="193" spans="2:7">
      <c r="B193">
        <v>670257</v>
      </c>
      <c r="C193">
        <v>20240717</v>
      </c>
      <c r="D193" t="s">
        <v>40</v>
      </c>
      <c r="E193" t="s">
        <v>4</v>
      </c>
      <c r="F193" s="2">
        <v>638186.19999999995</v>
      </c>
      <c r="G193" s="2"/>
    </row>
    <row r="194" spans="2:7">
      <c r="B194">
        <v>670677</v>
      </c>
      <c r="C194">
        <v>20240717</v>
      </c>
      <c r="D194" t="s">
        <v>40</v>
      </c>
      <c r="E194" t="s">
        <v>3</v>
      </c>
      <c r="F194" s="2"/>
      <c r="G194" s="2">
        <v>678335.5</v>
      </c>
    </row>
    <row r="195" spans="2:7">
      <c r="B195">
        <v>670676</v>
      </c>
      <c r="C195">
        <v>20240718</v>
      </c>
      <c r="D195" t="s">
        <v>40</v>
      </c>
      <c r="E195" t="s">
        <v>4</v>
      </c>
      <c r="F195" s="2">
        <v>678335.5</v>
      </c>
      <c r="G195" s="2"/>
    </row>
    <row r="196" spans="2:7">
      <c r="B196">
        <v>671139</v>
      </c>
      <c r="C196">
        <v>20240718</v>
      </c>
      <c r="D196" t="s">
        <v>40</v>
      </c>
      <c r="E196" t="s">
        <v>3</v>
      </c>
      <c r="F196" s="2"/>
      <c r="G196" s="2">
        <v>718484.9</v>
      </c>
    </row>
    <row r="197" spans="2:7">
      <c r="B197">
        <v>671138</v>
      </c>
      <c r="C197">
        <v>20240719</v>
      </c>
      <c r="D197" t="s">
        <v>40</v>
      </c>
      <c r="E197" t="s">
        <v>4</v>
      </c>
      <c r="F197" s="2">
        <v>718484.9</v>
      </c>
      <c r="G197" s="2"/>
    </row>
    <row r="198" spans="2:7">
      <c r="B198">
        <v>671589</v>
      </c>
      <c r="C198">
        <v>20240719</v>
      </c>
      <c r="D198" t="s">
        <v>40</v>
      </c>
      <c r="E198" t="s">
        <v>3</v>
      </c>
      <c r="F198" s="2"/>
      <c r="G198" s="2">
        <v>758634.25</v>
      </c>
    </row>
    <row r="199" spans="2:7">
      <c r="B199">
        <v>671588</v>
      </c>
      <c r="C199">
        <v>20240720</v>
      </c>
      <c r="D199" t="s">
        <v>40</v>
      </c>
      <c r="E199" t="s">
        <v>4</v>
      </c>
      <c r="F199" s="2">
        <v>758634.25</v>
      </c>
      <c r="G199" s="2"/>
    </row>
    <row r="200" spans="2:7">
      <c r="B200">
        <v>671930</v>
      </c>
      <c r="C200">
        <v>20240720</v>
      </c>
      <c r="D200" t="s">
        <v>40</v>
      </c>
      <c r="E200" t="s">
        <v>3</v>
      </c>
      <c r="F200" s="2"/>
      <c r="G200" s="2">
        <v>798783.56</v>
      </c>
    </row>
    <row r="201" spans="2:7">
      <c r="B201">
        <v>671929</v>
      </c>
      <c r="C201">
        <v>20240721</v>
      </c>
      <c r="D201" t="s">
        <v>40</v>
      </c>
      <c r="E201" t="s">
        <v>4</v>
      </c>
      <c r="F201" s="2">
        <v>798783.56</v>
      </c>
      <c r="G201" s="2"/>
    </row>
    <row r="202" spans="2:7">
      <c r="B202">
        <v>672159</v>
      </c>
      <c r="C202">
        <v>20240721</v>
      </c>
      <c r="D202" t="s">
        <v>40</v>
      </c>
      <c r="E202" t="s">
        <v>3</v>
      </c>
      <c r="F202" s="2"/>
      <c r="G202" s="2">
        <v>838932.94</v>
      </c>
    </row>
    <row r="203" spans="2:7">
      <c r="B203">
        <v>672158</v>
      </c>
      <c r="C203">
        <v>20240722</v>
      </c>
      <c r="D203" t="s">
        <v>40</v>
      </c>
      <c r="E203" t="s">
        <v>4</v>
      </c>
      <c r="F203" s="2">
        <v>838932.94</v>
      </c>
      <c r="G203" s="2"/>
    </row>
    <row r="204" spans="2:7">
      <c r="B204">
        <v>672597</v>
      </c>
      <c r="C204">
        <v>20240722</v>
      </c>
      <c r="D204" t="s">
        <v>40</v>
      </c>
      <c r="E204" t="s">
        <v>3</v>
      </c>
      <c r="F204" s="2"/>
      <c r="G204" s="2">
        <v>879082.3</v>
      </c>
    </row>
    <row r="205" spans="2:7">
      <c r="B205">
        <v>672596</v>
      </c>
      <c r="C205">
        <v>20240723</v>
      </c>
      <c r="D205" t="s">
        <v>40</v>
      </c>
      <c r="E205" t="s">
        <v>4</v>
      </c>
      <c r="F205" s="2">
        <v>879082.3</v>
      </c>
      <c r="G205" s="2"/>
    </row>
    <row r="206" spans="2:7">
      <c r="B206">
        <v>673095</v>
      </c>
      <c r="C206">
        <v>20240723</v>
      </c>
      <c r="D206" t="s">
        <v>40</v>
      </c>
      <c r="E206" t="s">
        <v>3</v>
      </c>
      <c r="F206" s="2"/>
      <c r="G206" s="2">
        <v>919231.7</v>
      </c>
    </row>
    <row r="207" spans="2:7">
      <c r="B207">
        <v>673094</v>
      </c>
      <c r="C207">
        <v>20240724</v>
      </c>
      <c r="D207" t="s">
        <v>40</v>
      </c>
      <c r="E207" t="s">
        <v>4</v>
      </c>
      <c r="F207" s="2">
        <v>919231.7</v>
      </c>
      <c r="G207" s="2"/>
    </row>
    <row r="208" spans="2:7">
      <c r="B208">
        <v>673579</v>
      </c>
      <c r="C208">
        <v>20240724</v>
      </c>
      <c r="D208" t="s">
        <v>40</v>
      </c>
      <c r="E208" t="s">
        <v>3</v>
      </c>
      <c r="F208" s="2"/>
      <c r="G208" s="2">
        <v>959381</v>
      </c>
    </row>
    <row r="209" spans="2:7">
      <c r="B209">
        <v>673578</v>
      </c>
      <c r="C209">
        <v>20240725</v>
      </c>
      <c r="D209" t="s">
        <v>40</v>
      </c>
      <c r="E209" t="s">
        <v>4</v>
      </c>
      <c r="F209" s="2">
        <v>959381</v>
      </c>
      <c r="G209" s="2"/>
    </row>
    <row r="210" spans="2:7">
      <c r="B210">
        <v>674171</v>
      </c>
      <c r="C210">
        <v>20240725</v>
      </c>
      <c r="D210" t="s">
        <v>40</v>
      </c>
      <c r="E210" t="s">
        <v>3</v>
      </c>
      <c r="F210" s="2"/>
      <c r="G210" s="2">
        <v>999530.4</v>
      </c>
    </row>
    <row r="211" spans="2:7">
      <c r="B211">
        <v>674170</v>
      </c>
      <c r="C211">
        <v>20240726</v>
      </c>
      <c r="D211" t="s">
        <v>40</v>
      </c>
      <c r="E211" t="s">
        <v>4</v>
      </c>
      <c r="F211" s="2">
        <v>999530.4</v>
      </c>
      <c r="G211" s="2"/>
    </row>
    <row r="212" spans="2:7">
      <c r="B212">
        <v>674829</v>
      </c>
      <c r="C212">
        <v>20240726</v>
      </c>
      <c r="D212" t="s">
        <v>40</v>
      </c>
      <c r="E212" t="s">
        <v>3</v>
      </c>
      <c r="F212" s="2"/>
      <c r="G212" s="2">
        <v>1039679.75</v>
      </c>
    </row>
    <row r="213" spans="2:7">
      <c r="B213">
        <v>674828</v>
      </c>
      <c r="C213">
        <v>20240727</v>
      </c>
      <c r="D213" t="s">
        <v>40</v>
      </c>
      <c r="E213" t="s">
        <v>4</v>
      </c>
      <c r="F213" s="2">
        <v>1039679.75</v>
      </c>
      <c r="G213" s="2"/>
    </row>
    <row r="214" spans="2:7">
      <c r="B214">
        <v>675251</v>
      </c>
      <c r="C214">
        <v>20240727</v>
      </c>
      <c r="D214" t="s">
        <v>40</v>
      </c>
      <c r="E214" t="s">
        <v>3</v>
      </c>
      <c r="F214" s="2"/>
      <c r="G214" s="2">
        <v>1079829.1000000001</v>
      </c>
    </row>
    <row r="215" spans="2:7">
      <c r="B215">
        <v>675250</v>
      </c>
      <c r="C215">
        <v>20240728</v>
      </c>
      <c r="D215" t="s">
        <v>40</v>
      </c>
      <c r="E215" t="s">
        <v>4</v>
      </c>
      <c r="F215" s="2">
        <v>1079829.1000000001</v>
      </c>
      <c r="G215" s="2"/>
    </row>
    <row r="216" spans="2:7">
      <c r="B216">
        <v>675493</v>
      </c>
      <c r="C216">
        <v>20240728</v>
      </c>
      <c r="D216" t="s">
        <v>40</v>
      </c>
      <c r="E216" t="s">
        <v>3</v>
      </c>
      <c r="F216" s="2"/>
      <c r="G216" s="2">
        <v>1119978.5</v>
      </c>
    </row>
    <row r="217" spans="2:7">
      <c r="B217">
        <v>675492</v>
      </c>
      <c r="C217">
        <v>20240729</v>
      </c>
      <c r="D217" t="s">
        <v>40</v>
      </c>
      <c r="E217" t="s">
        <v>4</v>
      </c>
      <c r="F217" s="2">
        <v>1119978.5</v>
      </c>
      <c r="G217" s="2"/>
    </row>
    <row r="218" spans="2:7">
      <c r="B218">
        <v>676021</v>
      </c>
      <c r="C218">
        <v>20240729</v>
      </c>
      <c r="D218" t="s">
        <v>40</v>
      </c>
      <c r="E218" t="s">
        <v>3</v>
      </c>
      <c r="F218" s="2"/>
      <c r="G218" s="2">
        <v>1160127.8</v>
      </c>
    </row>
    <row r="219" spans="2:7">
      <c r="B219">
        <v>676020</v>
      </c>
      <c r="C219">
        <v>20240730</v>
      </c>
      <c r="D219" t="s">
        <v>40</v>
      </c>
      <c r="E219" t="s">
        <v>4</v>
      </c>
      <c r="F219" s="2">
        <v>1160127.8</v>
      </c>
      <c r="G219" s="2"/>
    </row>
    <row r="220" spans="2:7">
      <c r="B220">
        <v>676909</v>
      </c>
      <c r="C220">
        <v>20240730</v>
      </c>
      <c r="D220" t="s">
        <v>40</v>
      </c>
      <c r="E220" t="s">
        <v>3</v>
      </c>
      <c r="F220" s="2"/>
      <c r="G220" s="2">
        <v>1200277.1000000001</v>
      </c>
    </row>
    <row r="221" spans="2:7">
      <c r="B221">
        <v>676908</v>
      </c>
      <c r="C221">
        <v>20240731</v>
      </c>
      <c r="D221" t="s">
        <v>40</v>
      </c>
      <c r="E221" t="s">
        <v>4</v>
      </c>
      <c r="F221" s="2">
        <v>1200277.1000000001</v>
      </c>
      <c r="G221" s="2"/>
    </row>
    <row r="222" spans="2:7">
      <c r="B222">
        <v>677631</v>
      </c>
      <c r="C222">
        <v>20240731</v>
      </c>
      <c r="D222" t="s">
        <v>40</v>
      </c>
      <c r="E222" t="s">
        <v>3</v>
      </c>
      <c r="F222" s="2"/>
      <c r="G222" s="2">
        <v>1240426.5</v>
      </c>
    </row>
    <row r="223" spans="2:7">
      <c r="B223">
        <v>677630</v>
      </c>
      <c r="C223">
        <v>20240801</v>
      </c>
      <c r="D223" t="s">
        <v>40</v>
      </c>
      <c r="E223" t="s">
        <v>4</v>
      </c>
      <c r="F223" s="2">
        <v>1240426.5</v>
      </c>
      <c r="G223" s="2"/>
    </row>
    <row r="224" spans="2:7">
      <c r="B224">
        <v>678450</v>
      </c>
      <c r="C224">
        <v>20240801</v>
      </c>
      <c r="D224" t="s">
        <v>40</v>
      </c>
      <c r="E224" t="s">
        <v>3</v>
      </c>
      <c r="F224" s="2"/>
      <c r="G224" s="2">
        <v>40149.360000000001</v>
      </c>
    </row>
    <row r="225" spans="2:7">
      <c r="B225">
        <v>715706</v>
      </c>
      <c r="C225">
        <v>20240801</v>
      </c>
      <c r="D225" t="s">
        <v>37</v>
      </c>
      <c r="E225" t="s">
        <v>3</v>
      </c>
      <c r="F225" s="2"/>
      <c r="G225" s="2">
        <v>1240426.5</v>
      </c>
    </row>
    <row r="226" spans="2:7">
      <c r="B226">
        <v>678449</v>
      </c>
      <c r="C226">
        <v>20240802</v>
      </c>
      <c r="D226" t="s">
        <v>40</v>
      </c>
      <c r="E226" t="s">
        <v>4</v>
      </c>
      <c r="F226" s="2">
        <v>40149.360000000001</v>
      </c>
      <c r="G226" s="2"/>
    </row>
    <row r="227" spans="2:7">
      <c r="B227">
        <v>679147</v>
      </c>
      <c r="C227">
        <v>20240802</v>
      </c>
      <c r="D227" t="s">
        <v>40</v>
      </c>
      <c r="E227" t="s">
        <v>3</v>
      </c>
      <c r="F227" s="2"/>
      <c r="G227" s="2">
        <v>80298.710000000006</v>
      </c>
    </row>
    <row r="228" spans="2:7">
      <c r="B228">
        <v>679146</v>
      </c>
      <c r="C228">
        <v>20240803</v>
      </c>
      <c r="D228" t="s">
        <v>40</v>
      </c>
      <c r="E228" t="s">
        <v>4</v>
      </c>
      <c r="F228" s="2">
        <v>80298.710000000006</v>
      </c>
      <c r="G228" s="2"/>
    </row>
    <row r="229" spans="2:7">
      <c r="B229">
        <v>679746</v>
      </c>
      <c r="C229">
        <v>20240803</v>
      </c>
      <c r="D229" t="s">
        <v>40</v>
      </c>
      <c r="E229" t="s">
        <v>3</v>
      </c>
      <c r="F229" s="2"/>
      <c r="G229" s="2">
        <v>120448.07</v>
      </c>
    </row>
    <row r="230" spans="2:7">
      <c r="B230">
        <v>679745</v>
      </c>
      <c r="C230">
        <v>20240804</v>
      </c>
      <c r="D230" t="s">
        <v>40</v>
      </c>
      <c r="E230" t="s">
        <v>4</v>
      </c>
      <c r="F230" s="2">
        <v>120448.07</v>
      </c>
      <c r="G230" s="2"/>
    </row>
    <row r="231" spans="2:7">
      <c r="B231">
        <v>679993</v>
      </c>
      <c r="C231">
        <v>20240804</v>
      </c>
      <c r="D231" t="s">
        <v>40</v>
      </c>
      <c r="E231" t="s">
        <v>3</v>
      </c>
      <c r="F231" s="2"/>
      <c r="G231" s="2">
        <v>160597.44</v>
      </c>
    </row>
    <row r="232" spans="2:7">
      <c r="B232">
        <v>679992</v>
      </c>
      <c r="C232">
        <v>20240805</v>
      </c>
      <c r="D232" t="s">
        <v>40</v>
      </c>
      <c r="E232" t="s">
        <v>4</v>
      </c>
      <c r="F232" s="2">
        <v>160597.44</v>
      </c>
      <c r="G232" s="2"/>
    </row>
    <row r="233" spans="2:7">
      <c r="B233">
        <v>680443</v>
      </c>
      <c r="C233">
        <v>20240805</v>
      </c>
      <c r="D233" t="s">
        <v>40</v>
      </c>
      <c r="E233" t="s">
        <v>3</v>
      </c>
      <c r="F233" s="2"/>
      <c r="G233" s="2">
        <v>200746.78</v>
      </c>
    </row>
    <row r="234" spans="2:7">
      <c r="B234">
        <v>680442</v>
      </c>
      <c r="C234">
        <v>20240806</v>
      </c>
      <c r="D234" t="s">
        <v>40</v>
      </c>
      <c r="E234" t="s">
        <v>4</v>
      </c>
      <c r="F234" s="2">
        <v>200746.78</v>
      </c>
      <c r="G234" s="2"/>
    </row>
    <row r="235" spans="2:7">
      <c r="B235">
        <v>681278</v>
      </c>
      <c r="C235">
        <v>20240806</v>
      </c>
      <c r="D235" t="s">
        <v>40</v>
      </c>
      <c r="E235" t="s">
        <v>3</v>
      </c>
      <c r="F235" s="2"/>
      <c r="G235" s="2">
        <v>240896.14</v>
      </c>
    </row>
    <row r="236" spans="2:7">
      <c r="B236">
        <v>681277</v>
      </c>
      <c r="C236">
        <v>20240807</v>
      </c>
      <c r="D236" t="s">
        <v>40</v>
      </c>
      <c r="E236" t="s">
        <v>4</v>
      </c>
      <c r="F236" s="2">
        <v>240896.14</v>
      </c>
      <c r="G236" s="2"/>
    </row>
    <row r="237" spans="2:7">
      <c r="B237">
        <v>682031</v>
      </c>
      <c r="C237">
        <v>20240807</v>
      </c>
      <c r="D237" t="s">
        <v>40</v>
      </c>
      <c r="E237" t="s">
        <v>3</v>
      </c>
      <c r="F237" s="2"/>
      <c r="G237" s="2">
        <v>281045.5</v>
      </c>
    </row>
    <row r="238" spans="2:7">
      <c r="B238">
        <v>682030</v>
      </c>
      <c r="C238">
        <v>20240808</v>
      </c>
      <c r="D238" t="s">
        <v>40</v>
      </c>
      <c r="E238" t="s">
        <v>4</v>
      </c>
      <c r="F238" s="2">
        <v>281045.5</v>
      </c>
      <c r="G238" s="2"/>
    </row>
    <row r="239" spans="2:7">
      <c r="B239">
        <v>682531</v>
      </c>
      <c r="C239">
        <v>20240808</v>
      </c>
      <c r="D239" t="s">
        <v>40</v>
      </c>
      <c r="E239" t="s">
        <v>3</v>
      </c>
      <c r="F239" s="2"/>
      <c r="G239" s="2">
        <v>321194.84000000003</v>
      </c>
    </row>
    <row r="240" spans="2:7">
      <c r="B240">
        <v>682530</v>
      </c>
      <c r="C240">
        <v>20240809</v>
      </c>
      <c r="D240" t="s">
        <v>40</v>
      </c>
      <c r="E240" t="s">
        <v>4</v>
      </c>
      <c r="F240" s="2">
        <v>321194.84000000003</v>
      </c>
      <c r="G240" s="2"/>
    </row>
    <row r="241" spans="2:7">
      <c r="B241">
        <v>682859</v>
      </c>
      <c r="C241">
        <v>20240809</v>
      </c>
      <c r="D241" t="s">
        <v>40</v>
      </c>
      <c r="E241" t="s">
        <v>3</v>
      </c>
      <c r="F241" s="2"/>
      <c r="G241" s="2">
        <v>361344.22</v>
      </c>
    </row>
    <row r="242" spans="2:7">
      <c r="B242">
        <v>682858</v>
      </c>
      <c r="C242">
        <v>20240810</v>
      </c>
      <c r="D242" t="s">
        <v>40</v>
      </c>
      <c r="E242" t="s">
        <v>4</v>
      </c>
      <c r="F242" s="2">
        <v>361344.22</v>
      </c>
      <c r="G242" s="2"/>
    </row>
    <row r="243" spans="2:7">
      <c r="B243">
        <v>683141</v>
      </c>
      <c r="C243">
        <v>20240810</v>
      </c>
      <c r="D243" t="s">
        <v>40</v>
      </c>
      <c r="E243" t="s">
        <v>3</v>
      </c>
      <c r="F243" s="2"/>
      <c r="G243" s="2">
        <v>401493.56</v>
      </c>
    </row>
    <row r="244" spans="2:7">
      <c r="B244">
        <v>683140</v>
      </c>
      <c r="C244">
        <v>20240811</v>
      </c>
      <c r="D244" t="s">
        <v>40</v>
      </c>
      <c r="E244" t="s">
        <v>4</v>
      </c>
      <c r="F244" s="2">
        <v>401493.56</v>
      </c>
      <c r="G244" s="2"/>
    </row>
    <row r="245" spans="2:7">
      <c r="B245">
        <v>683386</v>
      </c>
      <c r="C245">
        <v>20240811</v>
      </c>
      <c r="D245" t="s">
        <v>40</v>
      </c>
      <c r="E245" t="s">
        <v>3</v>
      </c>
      <c r="F245" s="2"/>
      <c r="G245" s="2">
        <v>441642.9</v>
      </c>
    </row>
    <row r="246" spans="2:7">
      <c r="B246">
        <v>683385</v>
      </c>
      <c r="C246">
        <v>20240812</v>
      </c>
      <c r="D246" t="s">
        <v>40</v>
      </c>
      <c r="E246" t="s">
        <v>4</v>
      </c>
      <c r="F246" s="2">
        <v>441642.9</v>
      </c>
      <c r="G246" s="2"/>
    </row>
    <row r="247" spans="2:7">
      <c r="B247">
        <v>684075</v>
      </c>
      <c r="C247">
        <v>20240812</v>
      </c>
      <c r="D247" t="s">
        <v>40</v>
      </c>
      <c r="E247" t="s">
        <v>3</v>
      </c>
      <c r="F247" s="2"/>
      <c r="G247" s="2">
        <v>481792.28</v>
      </c>
    </row>
    <row r="248" spans="2:7">
      <c r="B248">
        <v>684074</v>
      </c>
      <c r="C248">
        <v>20240813</v>
      </c>
      <c r="D248" t="s">
        <v>40</v>
      </c>
      <c r="E248" t="s">
        <v>4</v>
      </c>
      <c r="F248" s="2">
        <v>481792.28</v>
      </c>
      <c r="G248" s="2"/>
    </row>
    <row r="249" spans="2:7">
      <c r="B249">
        <v>684651</v>
      </c>
      <c r="C249">
        <v>20240813</v>
      </c>
      <c r="D249" t="s">
        <v>40</v>
      </c>
      <c r="E249" t="s">
        <v>3</v>
      </c>
      <c r="F249" s="2"/>
      <c r="G249" s="2">
        <v>521941.62</v>
      </c>
    </row>
    <row r="250" spans="2:7">
      <c r="B250">
        <v>684650</v>
      </c>
      <c r="C250">
        <v>20240814</v>
      </c>
      <c r="D250" t="s">
        <v>40</v>
      </c>
      <c r="E250" t="s">
        <v>4</v>
      </c>
      <c r="F250" s="2">
        <v>521941.62</v>
      </c>
      <c r="G250" s="2"/>
    </row>
    <row r="251" spans="2:7">
      <c r="B251">
        <v>685125</v>
      </c>
      <c r="C251">
        <v>20240814</v>
      </c>
      <c r="D251" t="s">
        <v>40</v>
      </c>
      <c r="E251" t="s">
        <v>3</v>
      </c>
      <c r="F251" s="2"/>
      <c r="G251" s="2">
        <v>562091</v>
      </c>
    </row>
    <row r="252" spans="2:7">
      <c r="B252">
        <v>685124</v>
      </c>
      <c r="C252">
        <v>20240815</v>
      </c>
      <c r="D252" t="s">
        <v>40</v>
      </c>
      <c r="E252" t="s">
        <v>4</v>
      </c>
      <c r="F252" s="2">
        <v>562091</v>
      </c>
      <c r="G252" s="2"/>
    </row>
    <row r="253" spans="2:7">
      <c r="B253">
        <v>685651</v>
      </c>
      <c r="C253">
        <v>20240815</v>
      </c>
      <c r="D253" t="s">
        <v>40</v>
      </c>
      <c r="E253" t="s">
        <v>3</v>
      </c>
      <c r="F253" s="2"/>
      <c r="G253" s="2">
        <v>602240.4</v>
      </c>
    </row>
    <row r="254" spans="2:7">
      <c r="B254">
        <v>685650</v>
      </c>
      <c r="C254">
        <v>20240816</v>
      </c>
      <c r="D254" t="s">
        <v>40</v>
      </c>
      <c r="E254" t="s">
        <v>4</v>
      </c>
      <c r="F254" s="2">
        <v>602240.4</v>
      </c>
      <c r="G254" s="2"/>
    </row>
    <row r="255" spans="2:7">
      <c r="B255">
        <v>686125</v>
      </c>
      <c r="C255">
        <v>20240816</v>
      </c>
      <c r="D255" t="s">
        <v>40</v>
      </c>
      <c r="E255" t="s">
        <v>3</v>
      </c>
      <c r="F255" s="2"/>
      <c r="G255" s="2">
        <v>642389.69999999995</v>
      </c>
    </row>
    <row r="256" spans="2:7">
      <c r="B256">
        <v>686124</v>
      </c>
      <c r="C256">
        <v>20240817</v>
      </c>
      <c r="D256" t="s">
        <v>40</v>
      </c>
      <c r="E256" t="s">
        <v>4</v>
      </c>
      <c r="F256" s="2">
        <v>642389.69999999995</v>
      </c>
      <c r="G256" s="2"/>
    </row>
    <row r="257" spans="2:7">
      <c r="B257">
        <v>686751</v>
      </c>
      <c r="C257">
        <v>20240817</v>
      </c>
      <c r="D257" t="s">
        <v>40</v>
      </c>
      <c r="E257" t="s">
        <v>3</v>
      </c>
      <c r="F257" s="2"/>
      <c r="G257" s="2">
        <v>682539.06</v>
      </c>
    </row>
    <row r="258" spans="2:7">
      <c r="B258">
        <v>686750</v>
      </c>
      <c r="C258">
        <v>20240818</v>
      </c>
      <c r="D258" t="s">
        <v>40</v>
      </c>
      <c r="E258" t="s">
        <v>4</v>
      </c>
      <c r="F258" s="2">
        <v>682539.06</v>
      </c>
      <c r="G258" s="2"/>
    </row>
    <row r="259" spans="2:7">
      <c r="B259">
        <v>686987</v>
      </c>
      <c r="C259">
        <v>20240818</v>
      </c>
      <c r="D259" t="s">
        <v>40</v>
      </c>
      <c r="E259" t="s">
        <v>3</v>
      </c>
      <c r="F259" s="2"/>
      <c r="G259" s="2">
        <v>722688.44</v>
      </c>
    </row>
    <row r="260" spans="2:7">
      <c r="B260">
        <v>686986</v>
      </c>
      <c r="C260">
        <v>20240819</v>
      </c>
      <c r="D260" t="s">
        <v>40</v>
      </c>
      <c r="E260" t="s">
        <v>4</v>
      </c>
      <c r="F260" s="2">
        <v>722688.44</v>
      </c>
      <c r="G260" s="2"/>
    </row>
    <row r="261" spans="2:7">
      <c r="B261">
        <v>687400</v>
      </c>
      <c r="C261">
        <v>20240819</v>
      </c>
      <c r="D261" t="s">
        <v>40</v>
      </c>
      <c r="E261" t="s">
        <v>3</v>
      </c>
      <c r="F261" s="2"/>
      <c r="G261" s="2">
        <v>762837.75</v>
      </c>
    </row>
    <row r="262" spans="2:7">
      <c r="B262">
        <v>687399</v>
      </c>
      <c r="C262">
        <v>20240820</v>
      </c>
      <c r="D262" t="s">
        <v>40</v>
      </c>
      <c r="E262" t="s">
        <v>4</v>
      </c>
      <c r="F262" s="2">
        <v>762837.75</v>
      </c>
      <c r="G262" s="2"/>
    </row>
    <row r="263" spans="2:7">
      <c r="B263">
        <v>687995</v>
      </c>
      <c r="C263">
        <v>20240820</v>
      </c>
      <c r="D263" t="s">
        <v>40</v>
      </c>
      <c r="E263" t="s">
        <v>3</v>
      </c>
      <c r="F263" s="2"/>
      <c r="G263" s="2">
        <v>802987.1</v>
      </c>
    </row>
    <row r="264" spans="2:7">
      <c r="B264">
        <v>687994</v>
      </c>
      <c r="C264">
        <v>20240821</v>
      </c>
      <c r="D264" t="s">
        <v>40</v>
      </c>
      <c r="E264" t="s">
        <v>4</v>
      </c>
      <c r="F264" s="2">
        <v>802987.1</v>
      </c>
      <c r="G264" s="2"/>
    </row>
    <row r="265" spans="2:7">
      <c r="B265">
        <v>688499</v>
      </c>
      <c r="C265">
        <v>20240821</v>
      </c>
      <c r="D265" t="s">
        <v>40</v>
      </c>
      <c r="E265" t="s">
        <v>3</v>
      </c>
      <c r="F265" s="2"/>
      <c r="G265" s="2">
        <v>843136.5</v>
      </c>
    </row>
    <row r="266" spans="2:7">
      <c r="B266">
        <v>688498</v>
      </c>
      <c r="C266">
        <v>20240822</v>
      </c>
      <c r="D266" t="s">
        <v>40</v>
      </c>
      <c r="E266" t="s">
        <v>4</v>
      </c>
      <c r="F266" s="2">
        <v>843136.5</v>
      </c>
      <c r="G266" s="2"/>
    </row>
    <row r="267" spans="2:7">
      <c r="B267">
        <v>688962</v>
      </c>
      <c r="C267">
        <v>20240822</v>
      </c>
      <c r="D267" t="s">
        <v>40</v>
      </c>
      <c r="E267" t="s">
        <v>3</v>
      </c>
      <c r="F267" s="2"/>
      <c r="G267" s="2">
        <v>883285.9</v>
      </c>
    </row>
    <row r="268" spans="2:7">
      <c r="B268">
        <v>688961</v>
      </c>
      <c r="C268">
        <v>20240823</v>
      </c>
      <c r="D268" t="s">
        <v>40</v>
      </c>
      <c r="E268" t="s">
        <v>4</v>
      </c>
      <c r="F268" s="2">
        <v>883285.9</v>
      </c>
      <c r="G268" s="2"/>
    </row>
    <row r="269" spans="2:7">
      <c r="B269">
        <v>689485</v>
      </c>
      <c r="C269">
        <v>20240823</v>
      </c>
      <c r="D269" t="s">
        <v>40</v>
      </c>
      <c r="E269" t="s">
        <v>3</v>
      </c>
      <c r="F269" s="2"/>
      <c r="G269" s="2">
        <v>923435.2</v>
      </c>
    </row>
    <row r="270" spans="2:7">
      <c r="B270">
        <v>689484</v>
      </c>
      <c r="C270">
        <v>20240824</v>
      </c>
      <c r="D270" t="s">
        <v>40</v>
      </c>
      <c r="E270" t="s">
        <v>4</v>
      </c>
      <c r="F270" s="2">
        <v>923435.2</v>
      </c>
      <c r="G270" s="2"/>
    </row>
    <row r="271" spans="2:7">
      <c r="B271">
        <v>690259</v>
      </c>
      <c r="C271">
        <v>20240824</v>
      </c>
      <c r="D271" t="s">
        <v>40</v>
      </c>
      <c r="E271" t="s">
        <v>3</v>
      </c>
      <c r="F271" s="2"/>
      <c r="G271" s="2">
        <v>963584.56</v>
      </c>
    </row>
    <row r="272" spans="2:7">
      <c r="B272">
        <v>690258</v>
      </c>
      <c r="C272">
        <v>20240825</v>
      </c>
      <c r="D272" t="s">
        <v>40</v>
      </c>
      <c r="E272" t="s">
        <v>4</v>
      </c>
      <c r="F272" s="2">
        <v>963584.56</v>
      </c>
      <c r="G272" s="2"/>
    </row>
    <row r="273" spans="2:7">
      <c r="B273">
        <v>690519</v>
      </c>
      <c r="C273">
        <v>20240825</v>
      </c>
      <c r="D273" t="s">
        <v>40</v>
      </c>
      <c r="E273" t="s">
        <v>3</v>
      </c>
      <c r="F273" s="2"/>
      <c r="G273" s="2">
        <v>1003733.94</v>
      </c>
    </row>
    <row r="274" spans="2:7">
      <c r="B274">
        <v>690518</v>
      </c>
      <c r="C274">
        <v>20240826</v>
      </c>
      <c r="D274" t="s">
        <v>40</v>
      </c>
      <c r="E274" t="s">
        <v>4</v>
      </c>
      <c r="F274" s="2">
        <v>1003733.94</v>
      </c>
      <c r="G274" s="2"/>
    </row>
    <row r="275" spans="2:7">
      <c r="B275">
        <v>690982</v>
      </c>
      <c r="C275">
        <v>20240826</v>
      </c>
      <c r="D275" t="s">
        <v>40</v>
      </c>
      <c r="E275" t="s">
        <v>3</v>
      </c>
      <c r="F275" s="2"/>
      <c r="G275" s="2">
        <v>1043883.25</v>
      </c>
    </row>
    <row r="276" spans="2:7">
      <c r="B276">
        <v>690981</v>
      </c>
      <c r="C276">
        <v>20240827</v>
      </c>
      <c r="D276" t="s">
        <v>40</v>
      </c>
      <c r="E276" t="s">
        <v>4</v>
      </c>
      <c r="F276" s="2">
        <v>1043883.25</v>
      </c>
      <c r="G276" s="2"/>
    </row>
    <row r="277" spans="2:7">
      <c r="B277">
        <v>691689</v>
      </c>
      <c r="C277">
        <v>20240827</v>
      </c>
      <c r="D277" t="s">
        <v>40</v>
      </c>
      <c r="E277" t="s">
        <v>3</v>
      </c>
      <c r="F277" s="2"/>
      <c r="G277" s="2">
        <v>1084032.6000000001</v>
      </c>
    </row>
    <row r="278" spans="2:7">
      <c r="B278">
        <v>691688</v>
      </c>
      <c r="C278">
        <v>20240828</v>
      </c>
      <c r="D278" t="s">
        <v>40</v>
      </c>
      <c r="E278" t="s">
        <v>4</v>
      </c>
      <c r="F278" s="2">
        <v>1084032.6000000001</v>
      </c>
      <c r="G278" s="2"/>
    </row>
    <row r="279" spans="2:7">
      <c r="B279">
        <v>692573</v>
      </c>
      <c r="C279">
        <v>20240828</v>
      </c>
      <c r="D279" t="s">
        <v>40</v>
      </c>
      <c r="E279" t="s">
        <v>3</v>
      </c>
      <c r="F279" s="2"/>
      <c r="G279" s="2">
        <v>1124182</v>
      </c>
    </row>
    <row r="280" spans="2:7">
      <c r="B280">
        <v>692572</v>
      </c>
      <c r="C280">
        <v>20240829</v>
      </c>
      <c r="D280" t="s">
        <v>40</v>
      </c>
      <c r="E280" t="s">
        <v>4</v>
      </c>
      <c r="F280" s="2">
        <v>1124182</v>
      </c>
      <c r="G280" s="2"/>
    </row>
    <row r="281" spans="2:7">
      <c r="B281">
        <v>693468</v>
      </c>
      <c r="C281">
        <v>20240829</v>
      </c>
      <c r="D281" t="s">
        <v>40</v>
      </c>
      <c r="E281" t="s">
        <v>3</v>
      </c>
      <c r="F281" s="2"/>
      <c r="G281" s="2">
        <v>1164331.3999999999</v>
      </c>
    </row>
    <row r="282" spans="2:7">
      <c r="B282">
        <v>693467</v>
      </c>
      <c r="C282">
        <v>20240830</v>
      </c>
      <c r="D282" t="s">
        <v>40</v>
      </c>
      <c r="E282" t="s">
        <v>4</v>
      </c>
      <c r="F282" s="2">
        <v>1164331.3999999999</v>
      </c>
      <c r="G282" s="2"/>
    </row>
    <row r="283" spans="2:7">
      <c r="B283">
        <v>694390</v>
      </c>
      <c r="C283">
        <v>20240830</v>
      </c>
      <c r="D283" t="s">
        <v>40</v>
      </c>
      <c r="E283" t="s">
        <v>3</v>
      </c>
      <c r="F283" s="2"/>
      <c r="G283" s="2">
        <v>1205163.6000000001</v>
      </c>
    </row>
    <row r="284" spans="2:7">
      <c r="B284">
        <v>694389</v>
      </c>
      <c r="C284">
        <v>20240831</v>
      </c>
      <c r="D284" t="s">
        <v>40</v>
      </c>
      <c r="E284" t="s">
        <v>4</v>
      </c>
      <c r="F284" s="2">
        <v>1205163.6000000001</v>
      </c>
      <c r="G284" s="2"/>
    </row>
    <row r="285" spans="2:7">
      <c r="B285">
        <v>695113</v>
      </c>
      <c r="C285">
        <v>20240831</v>
      </c>
      <c r="D285" t="s">
        <v>40</v>
      </c>
      <c r="E285" t="s">
        <v>3</v>
      </c>
      <c r="F285" s="2"/>
      <c r="G285" s="2">
        <v>1245995.8999999999</v>
      </c>
    </row>
    <row r="286" spans="2:7">
      <c r="B286">
        <v>695112</v>
      </c>
      <c r="C286">
        <v>20240901</v>
      </c>
      <c r="D286" t="s">
        <v>40</v>
      </c>
      <c r="E286" t="s">
        <v>4</v>
      </c>
      <c r="F286" s="2">
        <v>1245995.8999999999</v>
      </c>
      <c r="G286" s="2"/>
    </row>
    <row r="287" spans="2:7">
      <c r="B287">
        <v>695383</v>
      </c>
      <c r="C287">
        <v>20240901</v>
      </c>
      <c r="D287" t="s">
        <v>40</v>
      </c>
      <c r="E287" t="s">
        <v>3</v>
      </c>
      <c r="F287" s="2"/>
      <c r="G287" s="2">
        <v>40832.29</v>
      </c>
    </row>
    <row r="288" spans="2:7">
      <c r="B288">
        <v>715705</v>
      </c>
      <c r="C288">
        <v>20240901</v>
      </c>
      <c r="D288" t="s">
        <v>37</v>
      </c>
      <c r="E288" t="s">
        <v>3</v>
      </c>
      <c r="F288" s="2"/>
      <c r="G288" s="2">
        <v>1245995.8999999999</v>
      </c>
    </row>
    <row r="289" spans="2:7">
      <c r="B289">
        <v>695382</v>
      </c>
      <c r="C289">
        <v>20240902</v>
      </c>
      <c r="D289" t="s">
        <v>40</v>
      </c>
      <c r="E289" t="s">
        <v>4</v>
      </c>
      <c r="F289" s="2">
        <v>40832.29</v>
      </c>
      <c r="G289" s="2"/>
    </row>
    <row r="290" spans="2:7">
      <c r="B290">
        <v>695841</v>
      </c>
      <c r="C290">
        <v>20240902</v>
      </c>
      <c r="D290" t="s">
        <v>40</v>
      </c>
      <c r="E290" t="s">
        <v>3</v>
      </c>
      <c r="F290" s="2"/>
      <c r="G290" s="2">
        <v>81664.58</v>
      </c>
    </row>
    <row r="291" spans="2:7">
      <c r="B291">
        <v>695840</v>
      </c>
      <c r="C291">
        <v>20240903</v>
      </c>
      <c r="D291" t="s">
        <v>40</v>
      </c>
      <c r="E291" t="s">
        <v>4</v>
      </c>
      <c r="F291" s="2">
        <v>81664.58</v>
      </c>
      <c r="G291" s="2"/>
    </row>
    <row r="292" spans="2:7">
      <c r="B292">
        <v>696801</v>
      </c>
      <c r="C292">
        <v>20240903</v>
      </c>
      <c r="D292" t="s">
        <v>40</v>
      </c>
      <c r="E292" t="s">
        <v>3</v>
      </c>
      <c r="F292" s="2"/>
      <c r="G292" s="2">
        <v>122496.87</v>
      </c>
    </row>
    <row r="293" spans="2:7">
      <c r="B293">
        <v>696800</v>
      </c>
      <c r="C293">
        <v>20240904</v>
      </c>
      <c r="D293" t="s">
        <v>40</v>
      </c>
      <c r="E293" t="s">
        <v>4</v>
      </c>
      <c r="F293" s="2">
        <v>122496.87</v>
      </c>
      <c r="G293" s="2"/>
    </row>
    <row r="294" spans="2:7">
      <c r="B294">
        <v>697609</v>
      </c>
      <c r="C294">
        <v>20240904</v>
      </c>
      <c r="D294" t="s">
        <v>40</v>
      </c>
      <c r="E294" t="s">
        <v>3</v>
      </c>
      <c r="F294" s="2"/>
      <c r="G294" s="2">
        <v>163329.16</v>
      </c>
    </row>
    <row r="295" spans="2:7">
      <c r="B295">
        <v>697608</v>
      </c>
      <c r="C295">
        <v>20240905</v>
      </c>
      <c r="D295" t="s">
        <v>40</v>
      </c>
      <c r="E295" t="s">
        <v>4</v>
      </c>
      <c r="F295" s="2">
        <v>163329.16</v>
      </c>
      <c r="G295" s="2"/>
    </row>
    <row r="296" spans="2:7">
      <c r="B296">
        <v>698334</v>
      </c>
      <c r="C296">
        <v>20240905</v>
      </c>
      <c r="D296" t="s">
        <v>40</v>
      </c>
      <c r="E296" t="s">
        <v>3</v>
      </c>
      <c r="F296" s="2"/>
      <c r="G296" s="2">
        <v>204161.44</v>
      </c>
    </row>
    <row r="297" spans="2:7">
      <c r="B297">
        <v>698333</v>
      </c>
      <c r="C297">
        <v>20240906</v>
      </c>
      <c r="D297" t="s">
        <v>40</v>
      </c>
      <c r="E297" t="s">
        <v>4</v>
      </c>
      <c r="F297" s="2">
        <v>204161.44</v>
      </c>
      <c r="G297" s="2"/>
    </row>
    <row r="298" spans="2:7">
      <c r="B298">
        <v>699169</v>
      </c>
      <c r="C298">
        <v>20240906</v>
      </c>
      <c r="D298" t="s">
        <v>40</v>
      </c>
      <c r="E298" t="s">
        <v>3</v>
      </c>
      <c r="F298" s="2"/>
      <c r="G298" s="2">
        <v>244993.73</v>
      </c>
    </row>
    <row r="299" spans="2:7">
      <c r="B299">
        <v>699168</v>
      </c>
      <c r="C299">
        <v>20240907</v>
      </c>
      <c r="D299" t="s">
        <v>40</v>
      </c>
      <c r="E299" t="s">
        <v>4</v>
      </c>
      <c r="F299" s="2">
        <v>244993.73</v>
      </c>
      <c r="G299" s="2"/>
    </row>
    <row r="300" spans="2:7">
      <c r="B300">
        <v>699937</v>
      </c>
      <c r="C300">
        <v>20240907</v>
      </c>
      <c r="D300" t="s">
        <v>40</v>
      </c>
      <c r="E300" t="s">
        <v>3</v>
      </c>
      <c r="F300" s="2"/>
      <c r="G300" s="2">
        <v>285826.03000000003</v>
      </c>
    </row>
    <row r="301" spans="2:7">
      <c r="B301">
        <v>699936</v>
      </c>
      <c r="C301">
        <v>20240908</v>
      </c>
      <c r="D301" t="s">
        <v>40</v>
      </c>
      <c r="E301" t="s">
        <v>4</v>
      </c>
      <c r="F301" s="2">
        <v>285826.03000000003</v>
      </c>
      <c r="G301" s="2"/>
    </row>
    <row r="302" spans="2:7">
      <c r="B302">
        <v>700189</v>
      </c>
      <c r="C302">
        <v>20240908</v>
      </c>
      <c r="D302" t="s">
        <v>40</v>
      </c>
      <c r="E302" t="s">
        <v>3</v>
      </c>
      <c r="F302" s="2"/>
      <c r="G302" s="2">
        <v>326658.3</v>
      </c>
    </row>
    <row r="303" spans="2:7">
      <c r="B303">
        <v>700188</v>
      </c>
      <c r="C303">
        <v>20240909</v>
      </c>
      <c r="D303" t="s">
        <v>40</v>
      </c>
      <c r="E303" t="s">
        <v>4</v>
      </c>
      <c r="F303" s="2">
        <v>326658.3</v>
      </c>
      <c r="G303" s="2"/>
    </row>
    <row r="304" spans="2:7">
      <c r="B304">
        <v>700607</v>
      </c>
      <c r="C304">
        <v>20240909</v>
      </c>
      <c r="D304" t="s">
        <v>40</v>
      </c>
      <c r="E304" t="s">
        <v>3</v>
      </c>
      <c r="F304" s="2"/>
      <c r="G304" s="2">
        <v>367490.62</v>
      </c>
    </row>
    <row r="305" spans="2:7">
      <c r="B305">
        <v>700606</v>
      </c>
      <c r="C305">
        <v>20240910</v>
      </c>
      <c r="D305" t="s">
        <v>40</v>
      </c>
      <c r="E305" t="s">
        <v>4</v>
      </c>
      <c r="F305" s="2">
        <v>367490.62</v>
      </c>
      <c r="G305" s="2"/>
    </row>
    <row r="306" spans="2:7">
      <c r="B306">
        <v>701191</v>
      </c>
      <c r="C306">
        <v>20240910</v>
      </c>
      <c r="D306" t="s">
        <v>40</v>
      </c>
      <c r="E306" t="s">
        <v>3</v>
      </c>
      <c r="F306" s="2"/>
      <c r="G306" s="2">
        <v>408322.9</v>
      </c>
    </row>
    <row r="307" spans="2:7">
      <c r="B307">
        <v>701190</v>
      </c>
      <c r="C307">
        <v>20240911</v>
      </c>
      <c r="D307" t="s">
        <v>40</v>
      </c>
      <c r="E307" t="s">
        <v>4</v>
      </c>
      <c r="F307" s="2">
        <v>408322.9</v>
      </c>
      <c r="G307" s="2"/>
    </row>
    <row r="308" spans="2:7">
      <c r="B308">
        <v>701966</v>
      </c>
      <c r="C308">
        <v>20240911</v>
      </c>
      <c r="D308" t="s">
        <v>40</v>
      </c>
      <c r="E308" t="s">
        <v>3</v>
      </c>
      <c r="F308" s="2"/>
      <c r="G308" s="2">
        <v>449155.2</v>
      </c>
    </row>
    <row r="309" spans="2:7">
      <c r="B309">
        <v>701965</v>
      </c>
      <c r="C309">
        <v>20240912</v>
      </c>
      <c r="D309" t="s">
        <v>40</v>
      </c>
      <c r="E309" t="s">
        <v>4</v>
      </c>
      <c r="F309" s="2">
        <v>449155.2</v>
      </c>
      <c r="G309" s="2"/>
    </row>
    <row r="310" spans="2:7">
      <c r="B310">
        <v>702422</v>
      </c>
      <c r="C310">
        <v>20240912</v>
      </c>
      <c r="D310" t="s">
        <v>40</v>
      </c>
      <c r="E310" t="s">
        <v>3</v>
      </c>
      <c r="F310" s="2"/>
      <c r="G310" s="2">
        <v>489987.47</v>
      </c>
    </row>
    <row r="311" spans="2:7">
      <c r="B311">
        <v>702421</v>
      </c>
      <c r="C311">
        <v>20240913</v>
      </c>
      <c r="D311" t="s">
        <v>40</v>
      </c>
      <c r="E311" t="s">
        <v>4</v>
      </c>
      <c r="F311" s="2">
        <v>489987.47</v>
      </c>
      <c r="G311" s="2"/>
    </row>
    <row r="312" spans="2:7">
      <c r="B312">
        <v>702886</v>
      </c>
      <c r="C312">
        <v>20240913</v>
      </c>
      <c r="D312" t="s">
        <v>40</v>
      </c>
      <c r="E312" t="s">
        <v>3</v>
      </c>
      <c r="F312" s="2"/>
      <c r="G312" s="2">
        <v>530819.75</v>
      </c>
    </row>
    <row r="313" spans="2:7">
      <c r="B313">
        <v>702885</v>
      </c>
      <c r="C313">
        <v>20240914</v>
      </c>
      <c r="D313" t="s">
        <v>40</v>
      </c>
      <c r="E313" t="s">
        <v>4</v>
      </c>
      <c r="F313" s="2">
        <v>530819.75</v>
      </c>
      <c r="G313" s="2"/>
    </row>
    <row r="314" spans="2:7">
      <c r="B314">
        <v>703237</v>
      </c>
      <c r="C314">
        <v>20240914</v>
      </c>
      <c r="D314" t="s">
        <v>40</v>
      </c>
      <c r="E314" t="s">
        <v>3</v>
      </c>
      <c r="F314" s="2"/>
      <c r="G314" s="2">
        <v>571652.06000000006</v>
      </c>
    </row>
    <row r="315" spans="2:7">
      <c r="B315">
        <v>703236</v>
      </c>
      <c r="C315">
        <v>20240915</v>
      </c>
      <c r="D315" t="s">
        <v>40</v>
      </c>
      <c r="E315" t="s">
        <v>4</v>
      </c>
      <c r="F315" s="2">
        <v>571652.06000000006</v>
      </c>
      <c r="G315" s="2"/>
    </row>
    <row r="316" spans="2:7">
      <c r="B316">
        <v>703489</v>
      </c>
      <c r="C316">
        <v>20240915</v>
      </c>
      <c r="D316" t="s">
        <v>40</v>
      </c>
      <c r="E316" t="s">
        <v>3</v>
      </c>
      <c r="F316" s="2"/>
      <c r="G316" s="2">
        <v>612484.4</v>
      </c>
    </row>
    <row r="317" spans="2:7">
      <c r="B317">
        <v>703488</v>
      </c>
      <c r="C317">
        <v>20240916</v>
      </c>
      <c r="D317" t="s">
        <v>40</v>
      </c>
      <c r="E317" t="s">
        <v>4</v>
      </c>
      <c r="F317" s="2">
        <v>612484.4</v>
      </c>
      <c r="G317" s="2"/>
    </row>
    <row r="318" spans="2:7">
      <c r="B318">
        <v>703942</v>
      </c>
      <c r="C318">
        <v>20240916</v>
      </c>
      <c r="D318" t="s">
        <v>40</v>
      </c>
      <c r="E318" t="s">
        <v>3</v>
      </c>
      <c r="F318" s="2"/>
      <c r="G318" s="2">
        <v>653316.6</v>
      </c>
    </row>
    <row r="319" spans="2:7">
      <c r="B319">
        <v>703941</v>
      </c>
      <c r="C319">
        <v>20240917</v>
      </c>
      <c r="D319" t="s">
        <v>40</v>
      </c>
      <c r="E319" t="s">
        <v>4</v>
      </c>
      <c r="F319" s="2">
        <v>653316.6</v>
      </c>
      <c r="G319" s="2"/>
    </row>
    <row r="320" spans="2:7">
      <c r="B320">
        <v>704472</v>
      </c>
      <c r="C320">
        <v>20240917</v>
      </c>
      <c r="D320" t="s">
        <v>40</v>
      </c>
      <c r="E320" t="s">
        <v>3</v>
      </c>
      <c r="F320" s="2"/>
      <c r="G320" s="2">
        <v>694148.94</v>
      </c>
    </row>
    <row r="321" spans="2:9">
      <c r="B321">
        <v>704471</v>
      </c>
      <c r="C321">
        <v>20240918</v>
      </c>
      <c r="D321" t="s">
        <v>40</v>
      </c>
      <c r="E321" t="s">
        <v>4</v>
      </c>
      <c r="F321" s="2">
        <v>694148.94</v>
      </c>
      <c r="G321" s="2"/>
    </row>
    <row r="322" spans="2:9">
      <c r="B322">
        <v>704922</v>
      </c>
      <c r="C322">
        <v>20240918</v>
      </c>
      <c r="D322" t="s">
        <v>40</v>
      </c>
      <c r="E322" t="s">
        <v>3</v>
      </c>
      <c r="F322" s="2"/>
      <c r="G322" s="2">
        <v>734981.25</v>
      </c>
    </row>
    <row r="323" spans="2:9">
      <c r="B323">
        <v>704921</v>
      </c>
      <c r="C323">
        <v>20240919</v>
      </c>
      <c r="D323" t="s">
        <v>40</v>
      </c>
      <c r="E323" t="s">
        <v>4</v>
      </c>
      <c r="F323" s="2">
        <v>734981.25</v>
      </c>
      <c r="G323" s="2"/>
    </row>
    <row r="324" spans="2:9">
      <c r="B324">
        <v>705513</v>
      </c>
      <c r="C324">
        <v>20240919</v>
      </c>
      <c r="D324" t="s">
        <v>40</v>
      </c>
      <c r="E324" t="s">
        <v>3</v>
      </c>
      <c r="F324" s="2"/>
      <c r="G324" s="2">
        <v>775813.5</v>
      </c>
    </row>
    <row r="325" spans="2:9">
      <c r="B325">
        <v>705512</v>
      </c>
      <c r="C325">
        <v>20240920</v>
      </c>
      <c r="D325" t="s">
        <v>40</v>
      </c>
      <c r="E325" t="s">
        <v>4</v>
      </c>
      <c r="F325" s="2">
        <v>775813.5</v>
      </c>
      <c r="G325" s="2"/>
    </row>
    <row r="326" spans="2:9">
      <c r="B326">
        <v>706316</v>
      </c>
      <c r="C326">
        <v>20240920</v>
      </c>
      <c r="D326" t="s">
        <v>40</v>
      </c>
      <c r="E326" t="s">
        <v>3</v>
      </c>
      <c r="F326" s="2"/>
      <c r="G326" s="2">
        <v>815408.44</v>
      </c>
    </row>
    <row r="327" spans="2:9">
      <c r="B327">
        <v>706315</v>
      </c>
      <c r="C327">
        <v>20240921</v>
      </c>
      <c r="D327" t="s">
        <v>40</v>
      </c>
      <c r="E327" t="s">
        <v>4</v>
      </c>
      <c r="F327" s="2">
        <v>815408.44</v>
      </c>
      <c r="G327" s="2"/>
    </row>
    <row r="328" spans="2:9">
      <c r="B328">
        <v>706802</v>
      </c>
      <c r="C328">
        <v>20240921</v>
      </c>
      <c r="D328" t="s">
        <v>40</v>
      </c>
      <c r="E328" t="s">
        <v>3</v>
      </c>
      <c r="F328" s="2"/>
      <c r="G328" s="2">
        <v>855003.4</v>
      </c>
    </row>
    <row r="329" spans="2:9">
      <c r="B329">
        <v>706801</v>
      </c>
      <c r="C329">
        <v>20240922</v>
      </c>
      <c r="D329" t="s">
        <v>40</v>
      </c>
      <c r="E329" t="s">
        <v>4</v>
      </c>
      <c r="F329" s="2">
        <v>855003.4</v>
      </c>
      <c r="G329" s="2"/>
    </row>
    <row r="330" spans="2:9">
      <c r="B330">
        <v>707059</v>
      </c>
      <c r="C330">
        <v>20240922</v>
      </c>
      <c r="D330" t="s">
        <v>40</v>
      </c>
      <c r="E330" t="s">
        <v>3</v>
      </c>
      <c r="F330" s="2"/>
      <c r="G330" s="2">
        <v>894598.3</v>
      </c>
    </row>
    <row r="331" spans="2:9">
      <c r="B331">
        <v>707058</v>
      </c>
      <c r="C331">
        <v>20240923</v>
      </c>
      <c r="D331" t="s">
        <v>40</v>
      </c>
      <c r="E331" t="s">
        <v>4</v>
      </c>
      <c r="F331" s="2">
        <v>894598.3</v>
      </c>
      <c r="G331" s="2"/>
    </row>
    <row r="332" spans="2:9">
      <c r="B332">
        <v>707467</v>
      </c>
      <c r="C332">
        <v>20240923</v>
      </c>
      <c r="D332" t="s">
        <v>40</v>
      </c>
      <c r="E332" t="s">
        <v>3</v>
      </c>
      <c r="F332" s="2"/>
      <c r="G332" s="2">
        <v>934193.25</v>
      </c>
    </row>
    <row r="333" spans="2:9">
      <c r="B333">
        <v>707466</v>
      </c>
      <c r="C333">
        <v>20240924</v>
      </c>
      <c r="D333" t="s">
        <v>40</v>
      </c>
      <c r="E333" t="s">
        <v>4</v>
      </c>
      <c r="F333" s="2">
        <v>934193.25</v>
      </c>
      <c r="G333" s="2"/>
    </row>
    <row r="334" spans="2:9">
      <c r="B334">
        <v>707844</v>
      </c>
      <c r="C334">
        <v>20240924</v>
      </c>
      <c r="D334" t="s">
        <v>40</v>
      </c>
      <c r="E334" t="s">
        <v>3</v>
      </c>
      <c r="F334" s="2"/>
      <c r="G334" s="2">
        <v>973788.2</v>
      </c>
    </row>
    <row r="335" spans="2:9">
      <c r="B335">
        <v>707843</v>
      </c>
      <c r="C335">
        <v>20240925</v>
      </c>
      <c r="D335" t="s">
        <v>40</v>
      </c>
      <c r="E335" t="s">
        <v>4</v>
      </c>
      <c r="F335" s="2">
        <v>973788.2</v>
      </c>
      <c r="G335" s="2"/>
    </row>
    <row r="336" spans="2:9">
      <c r="B336">
        <v>708444</v>
      </c>
      <c r="C336">
        <v>20240925</v>
      </c>
      <c r="D336" t="s">
        <v>40</v>
      </c>
      <c r="E336" t="s">
        <v>3</v>
      </c>
      <c r="F336" s="2"/>
      <c r="G336" s="2">
        <v>1013383.2</v>
      </c>
      <c r="I336" s="2"/>
    </row>
    <row r="337" spans="2:9">
      <c r="B337">
        <v>708443</v>
      </c>
      <c r="C337">
        <v>20240926</v>
      </c>
      <c r="D337" t="s">
        <v>40</v>
      </c>
      <c r="E337" t="s">
        <v>4</v>
      </c>
      <c r="F337" s="2">
        <v>1013383.2</v>
      </c>
      <c r="G337" s="2"/>
    </row>
    <row r="338" spans="2:9">
      <c r="B338">
        <v>709420</v>
      </c>
      <c r="C338">
        <v>20240926</v>
      </c>
      <c r="D338" t="s">
        <v>40</v>
      </c>
      <c r="E338" t="s">
        <v>3</v>
      </c>
      <c r="F338" s="2"/>
      <c r="G338" s="2">
        <v>1052978.1000000001</v>
      </c>
      <c r="I338" s="2"/>
    </row>
    <row r="339" spans="2:9">
      <c r="B339">
        <v>709419</v>
      </c>
      <c r="C339">
        <v>20240927</v>
      </c>
      <c r="D339" t="s">
        <v>40</v>
      </c>
      <c r="E339" t="s">
        <v>4</v>
      </c>
      <c r="F339" s="2">
        <v>1052978.1000000001</v>
      </c>
      <c r="G339" s="2"/>
    </row>
    <row r="340" spans="2:9">
      <c r="B340">
        <v>710581</v>
      </c>
      <c r="C340">
        <v>20240927</v>
      </c>
      <c r="D340" t="s">
        <v>40</v>
      </c>
      <c r="E340" t="s">
        <v>3</v>
      </c>
      <c r="F340" s="2"/>
      <c r="G340" s="2">
        <v>6113597</v>
      </c>
      <c r="I340" s="2"/>
    </row>
    <row r="341" spans="2:9">
      <c r="B341">
        <v>710580</v>
      </c>
      <c r="C341">
        <v>20240928</v>
      </c>
      <c r="D341" t="s">
        <v>40</v>
      </c>
      <c r="E341" t="s">
        <v>4</v>
      </c>
      <c r="F341" s="2">
        <v>6113597</v>
      </c>
      <c r="G341" s="2"/>
    </row>
    <row r="342" spans="2:9">
      <c r="B342">
        <v>711523</v>
      </c>
      <c r="C342">
        <v>20240928</v>
      </c>
      <c r="D342" t="s">
        <v>40</v>
      </c>
      <c r="E342" t="s">
        <v>3</v>
      </c>
      <c r="F342" s="2"/>
      <c r="G342" s="2">
        <v>6153191.5</v>
      </c>
      <c r="I342" s="2"/>
    </row>
    <row r="343" spans="2:9">
      <c r="B343">
        <v>711522</v>
      </c>
      <c r="C343">
        <v>20240929</v>
      </c>
      <c r="D343" t="s">
        <v>40</v>
      </c>
      <c r="E343" t="s">
        <v>4</v>
      </c>
      <c r="F343" s="2">
        <v>6153191.5</v>
      </c>
      <c r="G343" s="2"/>
    </row>
    <row r="344" spans="2:9">
      <c r="B344">
        <v>711789</v>
      </c>
      <c r="C344">
        <v>20240929</v>
      </c>
      <c r="D344" t="s">
        <v>40</v>
      </c>
      <c r="E344" t="s">
        <v>3</v>
      </c>
      <c r="F344" s="2"/>
      <c r="G344" s="2">
        <v>6192786.5</v>
      </c>
    </row>
    <row r="345" spans="2:9">
      <c r="B345">
        <v>711788</v>
      </c>
      <c r="C345">
        <v>20240930</v>
      </c>
      <c r="D345" t="s">
        <v>40</v>
      </c>
      <c r="E345" t="s">
        <v>4</v>
      </c>
      <c r="F345" s="2">
        <v>6192786.5</v>
      </c>
      <c r="G345" s="2"/>
    </row>
    <row r="346" spans="2:9">
      <c r="B346">
        <v>713233</v>
      </c>
      <c r="C346">
        <v>20240930</v>
      </c>
      <c r="D346" t="s">
        <v>40</v>
      </c>
      <c r="E346" t="s">
        <v>3</v>
      </c>
      <c r="F346" s="2"/>
      <c r="G346" s="2">
        <v>6233896.5</v>
      </c>
    </row>
    <row r="347" spans="2:9">
      <c r="B347">
        <v>713232</v>
      </c>
      <c r="C347">
        <v>20241001</v>
      </c>
      <c r="D347" t="s">
        <v>40</v>
      </c>
      <c r="E347" t="s">
        <v>4</v>
      </c>
      <c r="F347" s="2">
        <v>6233896.5</v>
      </c>
      <c r="G347" s="2"/>
    </row>
    <row r="348" spans="2:9">
      <c r="B348">
        <v>714888</v>
      </c>
      <c r="C348">
        <v>20241001</v>
      </c>
      <c r="D348" t="s">
        <v>40</v>
      </c>
      <c r="E348" t="s">
        <v>3</v>
      </c>
      <c r="F348" s="2"/>
      <c r="G348" s="2">
        <v>6275006</v>
      </c>
    </row>
    <row r="349" spans="2:9">
      <c r="B349">
        <v>715704</v>
      </c>
      <c r="C349">
        <v>20241001</v>
      </c>
      <c r="D349" t="s">
        <v>37</v>
      </c>
      <c r="E349" t="s">
        <v>3</v>
      </c>
      <c r="F349" s="2"/>
      <c r="G349" s="2">
        <v>1212872.3999999999</v>
      </c>
    </row>
    <row r="350" spans="2:9">
      <c r="B350">
        <v>714887</v>
      </c>
      <c r="C350">
        <v>20241002</v>
      </c>
      <c r="D350" t="s">
        <v>40</v>
      </c>
      <c r="E350" t="s">
        <v>4</v>
      </c>
      <c r="F350" s="2">
        <v>6275006</v>
      </c>
      <c r="G350" s="2"/>
    </row>
    <row r="351" spans="2:9">
      <c r="B351">
        <v>715517</v>
      </c>
      <c r="C351">
        <v>20241002</v>
      </c>
      <c r="D351" t="s">
        <v>40</v>
      </c>
      <c r="E351" t="s">
        <v>3</v>
      </c>
      <c r="F351" s="2"/>
      <c r="G351" s="2">
        <v>82218.92</v>
      </c>
    </row>
    <row r="352" spans="2:9">
      <c r="B352">
        <v>715516</v>
      </c>
      <c r="C352">
        <v>20241003</v>
      </c>
      <c r="D352" t="s">
        <v>40</v>
      </c>
      <c r="E352" t="s">
        <v>4</v>
      </c>
      <c r="F352" s="2">
        <v>82218.92</v>
      </c>
      <c r="G352" s="2"/>
    </row>
    <row r="353" spans="2:7">
      <c r="B353" t="s">
        <v>30</v>
      </c>
      <c r="F353" s="2"/>
      <c r="G353" s="2">
        <f>SUM(account_2106681[Debit])-SUM(account_2106681[Credit])</f>
        <v>-8819156.5100000054</v>
      </c>
    </row>
    <row r="355" spans="2:7">
      <c r="B355" t="s">
        <v>45</v>
      </c>
    </row>
    <row r="356" spans="2:7">
      <c r="B356" t="s">
        <v>9</v>
      </c>
      <c r="C356" t="s">
        <v>10</v>
      </c>
      <c r="D356" t="s">
        <v>11</v>
      </c>
      <c r="E356" t="s">
        <v>29</v>
      </c>
      <c r="F356" s="2" t="s">
        <v>7</v>
      </c>
      <c r="G356" s="2" t="s">
        <v>8</v>
      </c>
    </row>
    <row r="357" spans="2:7" hidden="1">
      <c r="B357">
        <v>627511</v>
      </c>
      <c r="C357">
        <v>20240425</v>
      </c>
      <c r="D357" t="s">
        <v>40</v>
      </c>
      <c r="E357" t="s">
        <v>3</v>
      </c>
      <c r="F357" s="2">
        <v>37705.089999999997</v>
      </c>
      <c r="G357" s="2"/>
    </row>
    <row r="358" spans="2:7" hidden="1">
      <c r="B358">
        <v>627510</v>
      </c>
      <c r="C358">
        <v>20240426</v>
      </c>
      <c r="D358" t="s">
        <v>40</v>
      </c>
      <c r="E358" t="s">
        <v>4</v>
      </c>
      <c r="F358" s="2"/>
      <c r="G358" s="2">
        <v>37705.089999999997</v>
      </c>
    </row>
    <row r="359" spans="2:7" hidden="1">
      <c r="B359">
        <v>628059</v>
      </c>
      <c r="C359">
        <v>20240426</v>
      </c>
      <c r="D359" t="s">
        <v>40</v>
      </c>
      <c r="E359" t="s">
        <v>3</v>
      </c>
      <c r="F359" s="2">
        <v>75410.179999999993</v>
      </c>
      <c r="G359" s="2"/>
    </row>
    <row r="360" spans="2:7" hidden="1">
      <c r="B360">
        <v>628058</v>
      </c>
      <c r="C360">
        <v>20240427</v>
      </c>
      <c r="D360" t="s">
        <v>40</v>
      </c>
      <c r="E360" t="s">
        <v>4</v>
      </c>
      <c r="F360" s="2"/>
      <c r="G360" s="2">
        <v>75410.179999999993</v>
      </c>
    </row>
    <row r="361" spans="2:7" hidden="1">
      <c r="B361">
        <v>628631</v>
      </c>
      <c r="C361">
        <v>20240427</v>
      </c>
      <c r="D361" t="s">
        <v>40</v>
      </c>
      <c r="E361" t="s">
        <v>3</v>
      </c>
      <c r="F361" s="2">
        <v>113115.27</v>
      </c>
      <c r="G361" s="2"/>
    </row>
    <row r="362" spans="2:7" hidden="1">
      <c r="B362">
        <v>628630</v>
      </c>
      <c r="C362">
        <v>20240428</v>
      </c>
      <c r="D362" t="s">
        <v>40</v>
      </c>
      <c r="E362" t="s">
        <v>4</v>
      </c>
      <c r="F362" s="2"/>
      <c r="G362" s="2">
        <v>113115.27</v>
      </c>
    </row>
    <row r="363" spans="2:7" hidden="1">
      <c r="B363">
        <v>628820</v>
      </c>
      <c r="C363">
        <v>20240428</v>
      </c>
      <c r="D363" t="s">
        <v>40</v>
      </c>
      <c r="E363" t="s">
        <v>3</v>
      </c>
      <c r="F363" s="2">
        <v>150820.35999999999</v>
      </c>
      <c r="G363" s="2"/>
    </row>
    <row r="364" spans="2:7" hidden="1">
      <c r="B364">
        <v>628819</v>
      </c>
      <c r="C364">
        <v>20240429</v>
      </c>
      <c r="D364" t="s">
        <v>40</v>
      </c>
      <c r="E364" t="s">
        <v>4</v>
      </c>
      <c r="F364" s="2"/>
      <c r="G364" s="2">
        <v>150820.35999999999</v>
      </c>
    </row>
    <row r="365" spans="2:7" hidden="1">
      <c r="B365">
        <v>629281</v>
      </c>
      <c r="C365">
        <v>20240429</v>
      </c>
      <c r="D365" t="s">
        <v>40</v>
      </c>
      <c r="E365" t="s">
        <v>3</v>
      </c>
      <c r="F365" s="2">
        <v>188525.45</v>
      </c>
      <c r="G365" s="2"/>
    </row>
    <row r="366" spans="2:7" hidden="1">
      <c r="B366">
        <v>629280</v>
      </c>
      <c r="C366">
        <v>20240430</v>
      </c>
      <c r="D366" t="s">
        <v>40</v>
      </c>
      <c r="E366" t="s">
        <v>4</v>
      </c>
      <c r="F366" s="2"/>
      <c r="G366" s="2">
        <v>188525.45</v>
      </c>
    </row>
    <row r="367" spans="2:7" hidden="1">
      <c r="B367">
        <v>630055</v>
      </c>
      <c r="C367">
        <v>20240430</v>
      </c>
      <c r="D367" t="s">
        <v>40</v>
      </c>
      <c r="E367" t="s">
        <v>3</v>
      </c>
      <c r="F367" s="2">
        <v>226230.55</v>
      </c>
      <c r="G367" s="2"/>
    </row>
    <row r="368" spans="2:7" hidden="1">
      <c r="B368">
        <v>630054</v>
      </c>
      <c r="C368">
        <v>20240501</v>
      </c>
      <c r="D368" t="s">
        <v>40</v>
      </c>
      <c r="E368" t="s">
        <v>4</v>
      </c>
      <c r="F368" s="2"/>
      <c r="G368" s="2">
        <v>226230.55</v>
      </c>
    </row>
    <row r="369" spans="2:7" hidden="1">
      <c r="B369">
        <v>630557</v>
      </c>
      <c r="C369">
        <v>20240501</v>
      </c>
      <c r="D369" t="s">
        <v>40</v>
      </c>
      <c r="E369" t="s">
        <v>3</v>
      </c>
      <c r="F369" s="2">
        <v>263935.62</v>
      </c>
      <c r="G369" s="2"/>
    </row>
    <row r="370" spans="2:7">
      <c r="B370">
        <v>715709</v>
      </c>
      <c r="C370">
        <v>20240501</v>
      </c>
      <c r="D370" t="s">
        <v>37</v>
      </c>
      <c r="E370" t="s">
        <v>3</v>
      </c>
      <c r="F370" s="2">
        <v>226230.55</v>
      </c>
      <c r="G370" s="2"/>
    </row>
    <row r="371" spans="2:7" hidden="1">
      <c r="B371">
        <v>630556</v>
      </c>
      <c r="C371">
        <v>20240502</v>
      </c>
      <c r="D371" t="s">
        <v>40</v>
      </c>
      <c r="E371" t="s">
        <v>4</v>
      </c>
      <c r="F371" s="2"/>
      <c r="G371" s="2">
        <v>263935.62</v>
      </c>
    </row>
    <row r="372" spans="2:7" hidden="1">
      <c r="B372">
        <v>631095</v>
      </c>
      <c r="C372">
        <v>20240502</v>
      </c>
      <c r="D372" t="s">
        <v>40</v>
      </c>
      <c r="E372" t="s">
        <v>3</v>
      </c>
      <c r="F372" s="2">
        <v>37764.75</v>
      </c>
      <c r="G372" s="2"/>
    </row>
    <row r="373" spans="2:7" hidden="1">
      <c r="B373">
        <v>631094</v>
      </c>
      <c r="C373">
        <v>20240503</v>
      </c>
      <c r="D373" t="s">
        <v>40</v>
      </c>
      <c r="E373" t="s">
        <v>4</v>
      </c>
      <c r="F373" s="2"/>
      <c r="G373" s="2">
        <v>37764.75</v>
      </c>
    </row>
    <row r="374" spans="2:7" hidden="1">
      <c r="B374">
        <v>632091</v>
      </c>
      <c r="C374">
        <v>20240503</v>
      </c>
      <c r="D374" t="s">
        <v>40</v>
      </c>
      <c r="E374" t="s">
        <v>3</v>
      </c>
      <c r="F374" s="2">
        <v>75529.5</v>
      </c>
      <c r="G374" s="2"/>
    </row>
    <row r="375" spans="2:7" hidden="1">
      <c r="B375">
        <v>632090</v>
      </c>
      <c r="C375">
        <v>20240504</v>
      </c>
      <c r="D375" t="s">
        <v>40</v>
      </c>
      <c r="E375" t="s">
        <v>4</v>
      </c>
      <c r="F375" s="2"/>
      <c r="G375" s="2">
        <v>75529.5</v>
      </c>
    </row>
    <row r="376" spans="2:7" hidden="1">
      <c r="B376">
        <v>633171</v>
      </c>
      <c r="C376">
        <v>20240504</v>
      </c>
      <c r="D376" t="s">
        <v>40</v>
      </c>
      <c r="E376" t="s">
        <v>3</v>
      </c>
      <c r="F376" s="2">
        <v>113294.25</v>
      </c>
      <c r="G376" s="2"/>
    </row>
    <row r="377" spans="2:7" hidden="1">
      <c r="B377">
        <v>633170</v>
      </c>
      <c r="C377">
        <v>20240505</v>
      </c>
      <c r="D377" t="s">
        <v>40</v>
      </c>
      <c r="E377" t="s">
        <v>4</v>
      </c>
      <c r="F377" s="2"/>
      <c r="G377" s="2">
        <v>113294.25</v>
      </c>
    </row>
    <row r="378" spans="2:7" hidden="1">
      <c r="B378">
        <v>633357</v>
      </c>
      <c r="C378">
        <v>20240505</v>
      </c>
      <c r="D378" t="s">
        <v>40</v>
      </c>
      <c r="E378" t="s">
        <v>3</v>
      </c>
      <c r="F378" s="2">
        <v>151059</v>
      </c>
      <c r="G378" s="2"/>
    </row>
    <row r="379" spans="2:7" hidden="1">
      <c r="B379">
        <v>633356</v>
      </c>
      <c r="C379">
        <v>20240506</v>
      </c>
      <c r="D379" t="s">
        <v>40</v>
      </c>
      <c r="E379" t="s">
        <v>4</v>
      </c>
      <c r="F379" s="2"/>
      <c r="G379" s="2">
        <v>151059</v>
      </c>
    </row>
    <row r="380" spans="2:7" hidden="1">
      <c r="B380">
        <v>633797</v>
      </c>
      <c r="C380">
        <v>20240506</v>
      </c>
      <c r="D380" t="s">
        <v>40</v>
      </c>
      <c r="E380" t="s">
        <v>3</v>
      </c>
      <c r="F380" s="2">
        <v>188823.75</v>
      </c>
      <c r="G380" s="2"/>
    </row>
    <row r="381" spans="2:7" hidden="1">
      <c r="B381">
        <v>633796</v>
      </c>
      <c r="C381">
        <v>20240507</v>
      </c>
      <c r="D381" t="s">
        <v>40</v>
      </c>
      <c r="E381" t="s">
        <v>4</v>
      </c>
      <c r="F381" s="2"/>
      <c r="G381" s="2">
        <v>188823.75</v>
      </c>
    </row>
    <row r="382" spans="2:7" hidden="1">
      <c r="B382">
        <v>634607</v>
      </c>
      <c r="C382">
        <v>20240507</v>
      </c>
      <c r="D382" t="s">
        <v>40</v>
      </c>
      <c r="E382" t="s">
        <v>3</v>
      </c>
      <c r="F382" s="2">
        <v>226588.5</v>
      </c>
      <c r="G382" s="2"/>
    </row>
    <row r="383" spans="2:7" hidden="1">
      <c r="B383">
        <v>634606</v>
      </c>
      <c r="C383">
        <v>20240508</v>
      </c>
      <c r="D383" t="s">
        <v>40</v>
      </c>
      <c r="E383" t="s">
        <v>4</v>
      </c>
      <c r="F383" s="2"/>
      <c r="G383" s="2">
        <v>226588.5</v>
      </c>
    </row>
    <row r="384" spans="2:7" hidden="1">
      <c r="B384">
        <v>635103</v>
      </c>
      <c r="C384">
        <v>20240508</v>
      </c>
      <c r="D384" t="s">
        <v>40</v>
      </c>
      <c r="E384" t="s">
        <v>3</v>
      </c>
      <c r="F384" s="2">
        <v>264353.25</v>
      </c>
      <c r="G384" s="2"/>
    </row>
    <row r="385" spans="2:7" hidden="1">
      <c r="B385">
        <v>635102</v>
      </c>
      <c r="C385">
        <v>20240509</v>
      </c>
      <c r="D385" t="s">
        <v>40</v>
      </c>
      <c r="E385" t="s">
        <v>4</v>
      </c>
      <c r="F385" s="2"/>
      <c r="G385" s="2">
        <v>264353.25</v>
      </c>
    </row>
    <row r="386" spans="2:7" hidden="1">
      <c r="B386">
        <v>635507</v>
      </c>
      <c r="C386">
        <v>20240509</v>
      </c>
      <c r="D386" t="s">
        <v>40</v>
      </c>
      <c r="E386" t="s">
        <v>3</v>
      </c>
      <c r="F386" s="2">
        <v>302118</v>
      </c>
      <c r="G386" s="2"/>
    </row>
    <row r="387" spans="2:7" hidden="1">
      <c r="B387">
        <v>635506</v>
      </c>
      <c r="C387">
        <v>20240510</v>
      </c>
      <c r="D387" t="s">
        <v>40</v>
      </c>
      <c r="E387" t="s">
        <v>4</v>
      </c>
      <c r="F387" s="2"/>
      <c r="G387" s="2">
        <v>302118</v>
      </c>
    </row>
    <row r="388" spans="2:7" hidden="1">
      <c r="B388">
        <v>636029</v>
      </c>
      <c r="C388">
        <v>20240510</v>
      </c>
      <c r="D388" t="s">
        <v>40</v>
      </c>
      <c r="E388" t="s">
        <v>3</v>
      </c>
      <c r="F388" s="2">
        <v>339882.75</v>
      </c>
      <c r="G388" s="2"/>
    </row>
    <row r="389" spans="2:7" hidden="1">
      <c r="B389">
        <v>636028</v>
      </c>
      <c r="C389">
        <v>20240511</v>
      </c>
      <c r="D389" t="s">
        <v>40</v>
      </c>
      <c r="E389" t="s">
        <v>4</v>
      </c>
      <c r="F389" s="2"/>
      <c r="G389" s="2">
        <v>339882.75</v>
      </c>
    </row>
    <row r="390" spans="2:7" hidden="1">
      <c r="B390">
        <v>636323</v>
      </c>
      <c r="C390">
        <v>20240511</v>
      </c>
      <c r="D390" t="s">
        <v>40</v>
      </c>
      <c r="E390" t="s">
        <v>3</v>
      </c>
      <c r="F390" s="2">
        <v>377647.5</v>
      </c>
      <c r="G390" s="2"/>
    </row>
    <row r="391" spans="2:7" hidden="1">
      <c r="B391">
        <v>636322</v>
      </c>
      <c r="C391">
        <v>20240512</v>
      </c>
      <c r="D391" t="s">
        <v>40</v>
      </c>
      <c r="E391" t="s">
        <v>4</v>
      </c>
      <c r="F391" s="2"/>
      <c r="G391" s="2">
        <v>377647.5</v>
      </c>
    </row>
    <row r="392" spans="2:7" hidden="1">
      <c r="B392">
        <v>636517</v>
      </c>
      <c r="C392">
        <v>20240512</v>
      </c>
      <c r="D392" t="s">
        <v>40</v>
      </c>
      <c r="E392" t="s">
        <v>3</v>
      </c>
      <c r="F392" s="2">
        <v>415412.25</v>
      </c>
      <c r="G392" s="2"/>
    </row>
    <row r="393" spans="2:7" hidden="1">
      <c r="B393">
        <v>636516</v>
      </c>
      <c r="C393">
        <v>20240513</v>
      </c>
      <c r="D393" t="s">
        <v>40</v>
      </c>
      <c r="E393" t="s">
        <v>4</v>
      </c>
      <c r="F393" s="2"/>
      <c r="G393" s="2">
        <v>415412.25</v>
      </c>
    </row>
    <row r="394" spans="2:7" hidden="1">
      <c r="B394">
        <v>636919</v>
      </c>
      <c r="C394">
        <v>20240513</v>
      </c>
      <c r="D394" t="s">
        <v>40</v>
      </c>
      <c r="E394" t="s">
        <v>3</v>
      </c>
      <c r="F394" s="2">
        <v>453177</v>
      </c>
      <c r="G394" s="2"/>
    </row>
    <row r="395" spans="2:7" hidden="1">
      <c r="B395">
        <v>636918</v>
      </c>
      <c r="C395">
        <v>20240514</v>
      </c>
      <c r="D395" t="s">
        <v>40</v>
      </c>
      <c r="E395" t="s">
        <v>4</v>
      </c>
      <c r="F395" s="2"/>
      <c r="G395" s="2">
        <v>453177</v>
      </c>
    </row>
    <row r="396" spans="2:7" hidden="1">
      <c r="B396">
        <v>637444</v>
      </c>
      <c r="C396">
        <v>20240514</v>
      </c>
      <c r="D396" t="s">
        <v>40</v>
      </c>
      <c r="E396" t="s">
        <v>3</v>
      </c>
      <c r="F396" s="2">
        <v>490941.75</v>
      </c>
      <c r="G396" s="2"/>
    </row>
    <row r="397" spans="2:7" hidden="1">
      <c r="B397">
        <v>637443</v>
      </c>
      <c r="C397">
        <v>20240515</v>
      </c>
      <c r="D397" t="s">
        <v>40</v>
      </c>
      <c r="E397" t="s">
        <v>4</v>
      </c>
      <c r="F397" s="2"/>
      <c r="G397" s="2">
        <v>490941.75</v>
      </c>
    </row>
    <row r="398" spans="2:7" hidden="1">
      <c r="B398">
        <v>638833</v>
      </c>
      <c r="C398">
        <v>20240515</v>
      </c>
      <c r="D398" t="s">
        <v>40</v>
      </c>
      <c r="E398" t="s">
        <v>3</v>
      </c>
      <c r="F398" s="2">
        <v>528706.5</v>
      </c>
      <c r="G398" s="2"/>
    </row>
    <row r="399" spans="2:7" hidden="1">
      <c r="B399">
        <v>638832</v>
      </c>
      <c r="C399">
        <v>20240516</v>
      </c>
      <c r="D399" t="s">
        <v>40</v>
      </c>
      <c r="E399" t="s">
        <v>4</v>
      </c>
      <c r="F399" s="2"/>
      <c r="G399" s="2">
        <v>528706.5</v>
      </c>
    </row>
    <row r="400" spans="2:7" hidden="1">
      <c r="B400">
        <v>639625</v>
      </c>
      <c r="C400">
        <v>20240516</v>
      </c>
      <c r="D400" t="s">
        <v>40</v>
      </c>
      <c r="E400" t="s">
        <v>3</v>
      </c>
      <c r="F400" s="2">
        <v>566471.25</v>
      </c>
      <c r="G400" s="2"/>
    </row>
    <row r="401" spans="2:7" hidden="1">
      <c r="B401">
        <v>639624</v>
      </c>
      <c r="C401">
        <v>20240517</v>
      </c>
      <c r="D401" t="s">
        <v>40</v>
      </c>
      <c r="E401" t="s">
        <v>4</v>
      </c>
      <c r="F401" s="2"/>
      <c r="G401" s="2">
        <v>566471.25</v>
      </c>
    </row>
    <row r="402" spans="2:7" hidden="1">
      <c r="B402">
        <v>640222</v>
      </c>
      <c r="C402">
        <v>20240517</v>
      </c>
      <c r="D402" t="s">
        <v>40</v>
      </c>
      <c r="E402" t="s">
        <v>3</v>
      </c>
      <c r="F402" s="2">
        <v>604236</v>
      </c>
      <c r="G402" s="2"/>
    </row>
    <row r="403" spans="2:7" hidden="1">
      <c r="B403">
        <v>640221</v>
      </c>
      <c r="C403">
        <v>20240518</v>
      </c>
      <c r="D403" t="s">
        <v>40</v>
      </c>
      <c r="E403" t="s">
        <v>4</v>
      </c>
      <c r="F403" s="2"/>
      <c r="G403" s="2">
        <v>604236</v>
      </c>
    </row>
    <row r="404" spans="2:7" hidden="1">
      <c r="B404">
        <v>640684</v>
      </c>
      <c r="C404">
        <v>20240518</v>
      </c>
      <c r="D404" t="s">
        <v>40</v>
      </c>
      <c r="E404" t="s">
        <v>3</v>
      </c>
      <c r="F404" s="2">
        <v>642000.75</v>
      </c>
      <c r="G404" s="2"/>
    </row>
    <row r="405" spans="2:7" hidden="1">
      <c r="B405">
        <v>640683</v>
      </c>
      <c r="C405">
        <v>20240519</v>
      </c>
      <c r="D405" t="s">
        <v>40</v>
      </c>
      <c r="E405" t="s">
        <v>4</v>
      </c>
      <c r="F405" s="2"/>
      <c r="G405" s="2">
        <v>642000.75</v>
      </c>
    </row>
    <row r="406" spans="2:7" hidden="1">
      <c r="B406">
        <v>640880</v>
      </c>
      <c r="C406">
        <v>20240519</v>
      </c>
      <c r="D406" t="s">
        <v>40</v>
      </c>
      <c r="E406" t="s">
        <v>3</v>
      </c>
      <c r="F406" s="2">
        <v>679765.5</v>
      </c>
      <c r="G406" s="2"/>
    </row>
    <row r="407" spans="2:7" hidden="1">
      <c r="B407">
        <v>640879</v>
      </c>
      <c r="C407">
        <v>20240520</v>
      </c>
      <c r="D407" t="s">
        <v>40</v>
      </c>
      <c r="E407" t="s">
        <v>4</v>
      </c>
      <c r="F407" s="2"/>
      <c r="G407" s="2">
        <v>679765.5</v>
      </c>
    </row>
    <row r="408" spans="2:7" hidden="1">
      <c r="B408">
        <v>641232</v>
      </c>
      <c r="C408">
        <v>20240520</v>
      </c>
      <c r="D408" t="s">
        <v>40</v>
      </c>
      <c r="E408" t="s">
        <v>3</v>
      </c>
      <c r="F408" s="2">
        <v>717530.25</v>
      </c>
      <c r="G408" s="2"/>
    </row>
    <row r="409" spans="2:7" hidden="1">
      <c r="B409">
        <v>641231</v>
      </c>
      <c r="C409">
        <v>20240521</v>
      </c>
      <c r="D409" t="s">
        <v>40</v>
      </c>
      <c r="E409" t="s">
        <v>4</v>
      </c>
      <c r="F409" s="2"/>
      <c r="G409" s="2">
        <v>717530.25</v>
      </c>
    </row>
    <row r="410" spans="2:7" hidden="1">
      <c r="B410">
        <v>641880</v>
      </c>
      <c r="C410">
        <v>20240521</v>
      </c>
      <c r="D410" t="s">
        <v>40</v>
      </c>
      <c r="E410" t="s">
        <v>3</v>
      </c>
      <c r="F410" s="2">
        <v>755295</v>
      </c>
      <c r="G410" s="2"/>
    </row>
    <row r="411" spans="2:7" hidden="1">
      <c r="B411">
        <v>641879</v>
      </c>
      <c r="C411">
        <v>20240522</v>
      </c>
      <c r="D411" t="s">
        <v>40</v>
      </c>
      <c r="E411" t="s">
        <v>4</v>
      </c>
      <c r="F411" s="2"/>
      <c r="G411" s="2">
        <v>755295</v>
      </c>
    </row>
    <row r="412" spans="2:7" hidden="1">
      <c r="B412">
        <v>642298</v>
      </c>
      <c r="C412">
        <v>20240522</v>
      </c>
      <c r="D412" t="s">
        <v>40</v>
      </c>
      <c r="E412" t="s">
        <v>3</v>
      </c>
      <c r="F412" s="2">
        <v>793059.75</v>
      </c>
      <c r="G412" s="2"/>
    </row>
    <row r="413" spans="2:7" hidden="1">
      <c r="B413">
        <v>642297</v>
      </c>
      <c r="C413">
        <v>20240523</v>
      </c>
      <c r="D413" t="s">
        <v>40</v>
      </c>
      <c r="E413" t="s">
        <v>4</v>
      </c>
      <c r="F413" s="2"/>
      <c r="G413" s="2">
        <v>793059.75</v>
      </c>
    </row>
    <row r="414" spans="2:7" hidden="1">
      <c r="B414">
        <v>642675</v>
      </c>
      <c r="C414">
        <v>20240523</v>
      </c>
      <c r="D414" t="s">
        <v>40</v>
      </c>
      <c r="E414" t="s">
        <v>3</v>
      </c>
      <c r="F414" s="2">
        <v>830824.5</v>
      </c>
      <c r="G414" s="2"/>
    </row>
    <row r="415" spans="2:7" hidden="1">
      <c r="B415">
        <v>642674</v>
      </c>
      <c r="C415">
        <v>20240524</v>
      </c>
      <c r="D415" t="s">
        <v>40</v>
      </c>
      <c r="E415" t="s">
        <v>4</v>
      </c>
      <c r="F415" s="2"/>
      <c r="G415" s="2">
        <v>830824.5</v>
      </c>
    </row>
    <row r="416" spans="2:7" hidden="1">
      <c r="B416">
        <v>643087</v>
      </c>
      <c r="C416">
        <v>20240524</v>
      </c>
      <c r="D416" t="s">
        <v>40</v>
      </c>
      <c r="E416" t="s">
        <v>3</v>
      </c>
      <c r="F416" s="2">
        <v>868589.25</v>
      </c>
      <c r="G416" s="2"/>
    </row>
    <row r="417" spans="2:7" hidden="1">
      <c r="B417">
        <v>643086</v>
      </c>
      <c r="C417">
        <v>20240525</v>
      </c>
      <c r="D417" t="s">
        <v>40</v>
      </c>
      <c r="E417" t="s">
        <v>4</v>
      </c>
      <c r="F417" s="2"/>
      <c r="G417" s="2">
        <v>868589.25</v>
      </c>
    </row>
    <row r="418" spans="2:7" hidden="1">
      <c r="B418">
        <v>643419</v>
      </c>
      <c r="C418">
        <v>20240525</v>
      </c>
      <c r="D418" t="s">
        <v>40</v>
      </c>
      <c r="E418" t="s">
        <v>3</v>
      </c>
      <c r="F418" s="2">
        <v>906354</v>
      </c>
      <c r="G418" s="2"/>
    </row>
    <row r="419" spans="2:7" hidden="1">
      <c r="B419">
        <v>643418</v>
      </c>
      <c r="C419">
        <v>20240526</v>
      </c>
      <c r="D419" t="s">
        <v>40</v>
      </c>
      <c r="E419" t="s">
        <v>4</v>
      </c>
      <c r="F419" s="2"/>
      <c r="G419" s="2">
        <v>906354</v>
      </c>
    </row>
    <row r="420" spans="2:7" hidden="1">
      <c r="B420">
        <v>643621</v>
      </c>
      <c r="C420">
        <v>20240526</v>
      </c>
      <c r="D420" t="s">
        <v>40</v>
      </c>
      <c r="E420" t="s">
        <v>3</v>
      </c>
      <c r="F420" s="2">
        <v>944118.75</v>
      </c>
      <c r="G420" s="2"/>
    </row>
    <row r="421" spans="2:7" hidden="1">
      <c r="B421">
        <v>643620</v>
      </c>
      <c r="C421">
        <v>20240527</v>
      </c>
      <c r="D421" t="s">
        <v>40</v>
      </c>
      <c r="E421" t="s">
        <v>4</v>
      </c>
      <c r="F421" s="2"/>
      <c r="G421" s="2">
        <v>944118.75</v>
      </c>
    </row>
    <row r="422" spans="2:7" hidden="1">
      <c r="B422">
        <v>644011</v>
      </c>
      <c r="C422">
        <v>20240527</v>
      </c>
      <c r="D422" t="s">
        <v>40</v>
      </c>
      <c r="E422" t="s">
        <v>3</v>
      </c>
      <c r="F422" s="2">
        <v>981883.5</v>
      </c>
      <c r="G422" s="2"/>
    </row>
    <row r="423" spans="2:7" hidden="1">
      <c r="B423">
        <v>644010</v>
      </c>
      <c r="C423">
        <v>20240528</v>
      </c>
      <c r="D423" t="s">
        <v>40</v>
      </c>
      <c r="E423" t="s">
        <v>4</v>
      </c>
      <c r="F423" s="2"/>
      <c r="G423" s="2">
        <v>981883.5</v>
      </c>
    </row>
    <row r="424" spans="2:7" hidden="1">
      <c r="B424">
        <v>644817</v>
      </c>
      <c r="C424">
        <v>20240528</v>
      </c>
      <c r="D424" t="s">
        <v>40</v>
      </c>
      <c r="E424" t="s">
        <v>3</v>
      </c>
      <c r="F424" s="2">
        <v>1019648.25</v>
      </c>
      <c r="G424" s="2"/>
    </row>
    <row r="425" spans="2:7" hidden="1">
      <c r="B425">
        <v>644816</v>
      </c>
      <c r="C425">
        <v>20240529</v>
      </c>
      <c r="D425" t="s">
        <v>40</v>
      </c>
      <c r="E425" t="s">
        <v>4</v>
      </c>
      <c r="F425" s="2"/>
      <c r="G425" s="2">
        <v>1019648.25</v>
      </c>
    </row>
    <row r="426" spans="2:7" hidden="1">
      <c r="B426">
        <v>645350</v>
      </c>
      <c r="C426">
        <v>20240529</v>
      </c>
      <c r="D426" t="s">
        <v>40</v>
      </c>
      <c r="E426" t="s">
        <v>3</v>
      </c>
      <c r="F426" s="2">
        <v>1057413</v>
      </c>
      <c r="G426" s="2"/>
    </row>
    <row r="427" spans="2:7" hidden="1">
      <c r="B427">
        <v>645349</v>
      </c>
      <c r="C427">
        <v>20240530</v>
      </c>
      <c r="D427" t="s">
        <v>40</v>
      </c>
      <c r="E427" t="s">
        <v>4</v>
      </c>
      <c r="F427" s="2"/>
      <c r="G427" s="2">
        <v>1057413</v>
      </c>
    </row>
    <row r="428" spans="2:7" hidden="1">
      <c r="B428">
        <v>645971</v>
      </c>
      <c r="C428">
        <v>20240530</v>
      </c>
      <c r="D428" t="s">
        <v>40</v>
      </c>
      <c r="E428" t="s">
        <v>3</v>
      </c>
      <c r="F428" s="2">
        <v>1095177.8</v>
      </c>
      <c r="G428" s="2"/>
    </row>
    <row r="429" spans="2:7" hidden="1">
      <c r="B429">
        <v>645970</v>
      </c>
      <c r="C429">
        <v>20240531</v>
      </c>
      <c r="D429" t="s">
        <v>40</v>
      </c>
      <c r="E429" t="s">
        <v>4</v>
      </c>
      <c r="F429" s="2"/>
      <c r="G429" s="2">
        <v>1095177.8</v>
      </c>
    </row>
    <row r="430" spans="2:7" hidden="1">
      <c r="B430">
        <v>646953</v>
      </c>
      <c r="C430">
        <v>20240531</v>
      </c>
      <c r="D430" t="s">
        <v>40</v>
      </c>
      <c r="E430" t="s">
        <v>3</v>
      </c>
      <c r="F430" s="2">
        <v>1132942.5</v>
      </c>
      <c r="G430" s="2"/>
    </row>
    <row r="431" spans="2:7" hidden="1">
      <c r="B431">
        <v>646952</v>
      </c>
      <c r="C431">
        <v>20240601</v>
      </c>
      <c r="D431" t="s">
        <v>40</v>
      </c>
      <c r="E431" t="s">
        <v>4</v>
      </c>
      <c r="F431" s="2"/>
      <c r="G431" s="2">
        <v>1132942.5</v>
      </c>
    </row>
    <row r="432" spans="2:7" hidden="1">
      <c r="B432">
        <v>647517</v>
      </c>
      <c r="C432">
        <v>20240601</v>
      </c>
      <c r="D432" t="s">
        <v>40</v>
      </c>
      <c r="E432" t="s">
        <v>3</v>
      </c>
      <c r="F432" s="2">
        <v>1170707.2</v>
      </c>
      <c r="G432" s="2"/>
    </row>
    <row r="433" spans="2:7">
      <c r="B433">
        <v>715708</v>
      </c>
      <c r="C433">
        <v>20240601</v>
      </c>
      <c r="D433" t="s">
        <v>37</v>
      </c>
      <c r="E433" t="s">
        <v>3</v>
      </c>
      <c r="F433" s="2">
        <v>1168857.8999999999</v>
      </c>
      <c r="G433" s="2"/>
    </row>
    <row r="434" spans="2:7" hidden="1">
      <c r="B434">
        <v>647516</v>
      </c>
      <c r="C434">
        <v>20240602</v>
      </c>
      <c r="D434" t="s">
        <v>40</v>
      </c>
      <c r="E434" t="s">
        <v>4</v>
      </c>
      <c r="F434" s="2"/>
      <c r="G434" s="2">
        <v>1170707.2</v>
      </c>
    </row>
    <row r="435" spans="2:7" hidden="1">
      <c r="B435">
        <v>647737</v>
      </c>
      <c r="C435">
        <v>20240602</v>
      </c>
      <c r="D435" t="s">
        <v>40</v>
      </c>
      <c r="E435" t="s">
        <v>3</v>
      </c>
      <c r="F435" s="2">
        <v>1208472</v>
      </c>
      <c r="G435" s="2"/>
    </row>
    <row r="436" spans="2:7" hidden="1">
      <c r="B436">
        <v>647736</v>
      </c>
      <c r="C436">
        <v>20240603</v>
      </c>
      <c r="D436" t="s">
        <v>40</v>
      </c>
      <c r="E436" t="s">
        <v>4</v>
      </c>
      <c r="F436" s="2"/>
      <c r="G436" s="2">
        <v>1208472</v>
      </c>
    </row>
    <row r="437" spans="2:7" hidden="1">
      <c r="B437">
        <v>648204</v>
      </c>
      <c r="C437">
        <v>20240603</v>
      </c>
      <c r="D437" t="s">
        <v>40</v>
      </c>
      <c r="E437" t="s">
        <v>3</v>
      </c>
      <c r="F437" s="2">
        <v>38037.9</v>
      </c>
      <c r="G437" s="2"/>
    </row>
    <row r="438" spans="2:7" hidden="1">
      <c r="B438">
        <v>648203</v>
      </c>
      <c r="C438">
        <v>20240604</v>
      </c>
      <c r="D438" t="s">
        <v>40</v>
      </c>
      <c r="E438" t="s">
        <v>4</v>
      </c>
      <c r="F438" s="2"/>
      <c r="G438" s="2">
        <v>38037.9</v>
      </c>
    </row>
    <row r="439" spans="2:7" hidden="1">
      <c r="B439">
        <v>649043</v>
      </c>
      <c r="C439">
        <v>20240604</v>
      </c>
      <c r="D439" t="s">
        <v>40</v>
      </c>
      <c r="E439" t="s">
        <v>3</v>
      </c>
      <c r="F439" s="2">
        <v>76075.789999999994</v>
      </c>
      <c r="G439" s="2"/>
    </row>
    <row r="440" spans="2:7" hidden="1">
      <c r="B440">
        <v>649042</v>
      </c>
      <c r="C440">
        <v>20240605</v>
      </c>
      <c r="D440" t="s">
        <v>40</v>
      </c>
      <c r="E440" t="s">
        <v>4</v>
      </c>
      <c r="F440" s="2"/>
      <c r="G440" s="2">
        <v>76075.789999999994</v>
      </c>
    </row>
    <row r="441" spans="2:7" hidden="1">
      <c r="B441">
        <v>649707</v>
      </c>
      <c r="C441">
        <v>20240605</v>
      </c>
      <c r="D441" t="s">
        <v>40</v>
      </c>
      <c r="E441" t="s">
        <v>3</v>
      </c>
      <c r="F441" s="2">
        <v>114113.69</v>
      </c>
      <c r="G441" s="2"/>
    </row>
    <row r="442" spans="2:7" hidden="1">
      <c r="B442">
        <v>649706</v>
      </c>
      <c r="C442">
        <v>20240606</v>
      </c>
      <c r="D442" t="s">
        <v>40</v>
      </c>
      <c r="E442" t="s">
        <v>4</v>
      </c>
      <c r="F442" s="2"/>
      <c r="G442" s="2">
        <v>114113.69</v>
      </c>
    </row>
    <row r="443" spans="2:7" hidden="1">
      <c r="B443">
        <v>650439</v>
      </c>
      <c r="C443">
        <v>20240606</v>
      </c>
      <c r="D443" t="s">
        <v>40</v>
      </c>
      <c r="E443" t="s">
        <v>3</v>
      </c>
      <c r="F443" s="2">
        <v>152151.6</v>
      </c>
      <c r="G443" s="2"/>
    </row>
    <row r="444" spans="2:7" hidden="1">
      <c r="B444">
        <v>650438</v>
      </c>
      <c r="C444">
        <v>20240607</v>
      </c>
      <c r="D444" t="s">
        <v>40</v>
      </c>
      <c r="E444" t="s">
        <v>4</v>
      </c>
      <c r="F444" s="2"/>
      <c r="G444" s="2">
        <v>152151.6</v>
      </c>
    </row>
    <row r="445" spans="2:7" hidden="1">
      <c r="B445">
        <v>651153</v>
      </c>
      <c r="C445">
        <v>20240607</v>
      </c>
      <c r="D445" t="s">
        <v>40</v>
      </c>
      <c r="E445" t="s">
        <v>3</v>
      </c>
      <c r="F445" s="2">
        <v>190189.48</v>
      </c>
      <c r="G445" s="2"/>
    </row>
    <row r="446" spans="2:7" hidden="1">
      <c r="B446">
        <v>651152</v>
      </c>
      <c r="C446">
        <v>20240608</v>
      </c>
      <c r="D446" t="s">
        <v>40</v>
      </c>
      <c r="E446" t="s">
        <v>4</v>
      </c>
      <c r="F446" s="2"/>
      <c r="G446" s="2">
        <v>190189.48</v>
      </c>
    </row>
    <row r="447" spans="2:7" hidden="1">
      <c r="B447">
        <v>651703</v>
      </c>
      <c r="C447">
        <v>20240608</v>
      </c>
      <c r="D447" t="s">
        <v>40</v>
      </c>
      <c r="E447" t="s">
        <v>3</v>
      </c>
      <c r="F447" s="2">
        <v>228227.38</v>
      </c>
      <c r="G447" s="2"/>
    </row>
    <row r="448" spans="2:7" hidden="1">
      <c r="B448">
        <v>651702</v>
      </c>
      <c r="C448">
        <v>20240609</v>
      </c>
      <c r="D448" t="s">
        <v>40</v>
      </c>
      <c r="E448" t="s">
        <v>4</v>
      </c>
      <c r="F448" s="2"/>
      <c r="G448" s="2">
        <v>228227.38</v>
      </c>
    </row>
    <row r="449" spans="2:7" hidden="1">
      <c r="B449">
        <v>651912</v>
      </c>
      <c r="C449">
        <v>20240609</v>
      </c>
      <c r="D449" t="s">
        <v>40</v>
      </c>
      <c r="E449" t="s">
        <v>3</v>
      </c>
      <c r="F449" s="2">
        <v>266265.28000000003</v>
      </c>
      <c r="G449" s="2"/>
    </row>
    <row r="450" spans="2:7" hidden="1">
      <c r="B450">
        <v>651911</v>
      </c>
      <c r="C450">
        <v>20240610</v>
      </c>
      <c r="D450" t="s">
        <v>40</v>
      </c>
      <c r="E450" t="s">
        <v>4</v>
      </c>
      <c r="F450" s="2"/>
      <c r="G450" s="2">
        <v>266265.28000000003</v>
      </c>
    </row>
    <row r="451" spans="2:7" hidden="1">
      <c r="B451">
        <v>652342</v>
      </c>
      <c r="C451">
        <v>20240610</v>
      </c>
      <c r="D451" t="s">
        <v>40</v>
      </c>
      <c r="E451" t="s">
        <v>3</v>
      </c>
      <c r="F451" s="2">
        <v>304303.2</v>
      </c>
      <c r="G451" s="2"/>
    </row>
    <row r="452" spans="2:7" hidden="1">
      <c r="B452">
        <v>652341</v>
      </c>
      <c r="C452">
        <v>20240611</v>
      </c>
      <c r="D452" t="s">
        <v>40</v>
      </c>
      <c r="E452" t="s">
        <v>4</v>
      </c>
      <c r="F452" s="2"/>
      <c r="G452" s="2">
        <v>304303.2</v>
      </c>
    </row>
    <row r="453" spans="2:7" hidden="1">
      <c r="B453">
        <v>652784</v>
      </c>
      <c r="C453">
        <v>20240611</v>
      </c>
      <c r="D453" t="s">
        <v>40</v>
      </c>
      <c r="E453" t="s">
        <v>3</v>
      </c>
      <c r="F453" s="2">
        <v>342341.06</v>
      </c>
      <c r="G453" s="2"/>
    </row>
    <row r="454" spans="2:7" hidden="1">
      <c r="B454">
        <v>652783</v>
      </c>
      <c r="C454">
        <v>20240612</v>
      </c>
      <c r="D454" t="s">
        <v>40</v>
      </c>
      <c r="E454" t="s">
        <v>4</v>
      </c>
      <c r="F454" s="2"/>
      <c r="G454" s="2">
        <v>342341.06</v>
      </c>
    </row>
    <row r="455" spans="2:7" hidden="1">
      <c r="B455">
        <v>653230</v>
      </c>
      <c r="C455">
        <v>20240612</v>
      </c>
      <c r="D455" t="s">
        <v>40</v>
      </c>
      <c r="E455" t="s">
        <v>3</v>
      </c>
      <c r="F455" s="2">
        <v>380378.97</v>
      </c>
      <c r="G455" s="2"/>
    </row>
    <row r="456" spans="2:7" hidden="1">
      <c r="B456">
        <v>653229</v>
      </c>
      <c r="C456">
        <v>20240613</v>
      </c>
      <c r="D456" t="s">
        <v>40</v>
      </c>
      <c r="E456" t="s">
        <v>4</v>
      </c>
      <c r="F456" s="2"/>
      <c r="G456" s="2">
        <v>380378.97</v>
      </c>
    </row>
    <row r="457" spans="2:7" hidden="1">
      <c r="B457">
        <v>653647</v>
      </c>
      <c r="C457">
        <v>20240613</v>
      </c>
      <c r="D457" t="s">
        <v>40</v>
      </c>
      <c r="E457" t="s">
        <v>3</v>
      </c>
      <c r="F457" s="2">
        <v>418416.88</v>
      </c>
      <c r="G457" s="2"/>
    </row>
    <row r="458" spans="2:7" hidden="1">
      <c r="B458">
        <v>653646</v>
      </c>
      <c r="C458">
        <v>20240614</v>
      </c>
      <c r="D458" t="s">
        <v>40</v>
      </c>
      <c r="E458" t="s">
        <v>4</v>
      </c>
      <c r="F458" s="2"/>
      <c r="G458" s="2">
        <v>418416.88</v>
      </c>
    </row>
    <row r="459" spans="2:7" hidden="1">
      <c r="B459">
        <v>654097</v>
      </c>
      <c r="C459">
        <v>20240614</v>
      </c>
      <c r="D459" t="s">
        <v>40</v>
      </c>
      <c r="E459" t="s">
        <v>3</v>
      </c>
      <c r="F459" s="2">
        <v>456454.78</v>
      </c>
      <c r="G459" s="2"/>
    </row>
    <row r="460" spans="2:7" hidden="1">
      <c r="B460">
        <v>654096</v>
      </c>
      <c r="C460">
        <v>20240615</v>
      </c>
      <c r="D460" t="s">
        <v>40</v>
      </c>
      <c r="E460" t="s">
        <v>4</v>
      </c>
      <c r="F460" s="2"/>
      <c r="G460" s="2">
        <v>456454.78</v>
      </c>
    </row>
    <row r="461" spans="2:7" hidden="1">
      <c r="B461">
        <v>654702</v>
      </c>
      <c r="C461">
        <v>20240615</v>
      </c>
      <c r="D461" t="s">
        <v>40</v>
      </c>
      <c r="E461" t="s">
        <v>3</v>
      </c>
      <c r="F461" s="2">
        <v>494492.66</v>
      </c>
      <c r="G461" s="2"/>
    </row>
    <row r="462" spans="2:7" hidden="1">
      <c r="B462">
        <v>654701</v>
      </c>
      <c r="C462">
        <v>20240616</v>
      </c>
      <c r="D462" t="s">
        <v>40</v>
      </c>
      <c r="E462" t="s">
        <v>4</v>
      </c>
      <c r="F462" s="2"/>
      <c r="G462" s="2">
        <v>494492.66</v>
      </c>
    </row>
    <row r="463" spans="2:7" hidden="1">
      <c r="B463">
        <v>654907</v>
      </c>
      <c r="C463">
        <v>20240616</v>
      </c>
      <c r="D463" t="s">
        <v>40</v>
      </c>
      <c r="E463" t="s">
        <v>3</v>
      </c>
      <c r="F463" s="2">
        <v>532530.56000000006</v>
      </c>
      <c r="G463" s="2"/>
    </row>
    <row r="464" spans="2:7" hidden="1">
      <c r="B464">
        <v>654906</v>
      </c>
      <c r="C464">
        <v>20240617</v>
      </c>
      <c r="D464" t="s">
        <v>40</v>
      </c>
      <c r="E464" t="s">
        <v>4</v>
      </c>
      <c r="F464" s="2"/>
      <c r="G464" s="2">
        <v>532530.56000000006</v>
      </c>
    </row>
    <row r="465" spans="2:7" hidden="1">
      <c r="B465">
        <v>655105</v>
      </c>
      <c r="C465">
        <v>20240617</v>
      </c>
      <c r="D465" t="s">
        <v>40</v>
      </c>
      <c r="E465" t="s">
        <v>3</v>
      </c>
      <c r="F465" s="2">
        <v>570568.43999999994</v>
      </c>
      <c r="G465" s="2"/>
    </row>
    <row r="466" spans="2:7" hidden="1">
      <c r="B466">
        <v>655104</v>
      </c>
      <c r="C466">
        <v>20240618</v>
      </c>
      <c r="D466" t="s">
        <v>40</v>
      </c>
      <c r="E466" t="s">
        <v>4</v>
      </c>
      <c r="F466" s="2"/>
      <c r="G466" s="2">
        <v>570568.43999999994</v>
      </c>
    </row>
    <row r="467" spans="2:7" hidden="1">
      <c r="B467">
        <v>655677</v>
      </c>
      <c r="C467">
        <v>20240618</v>
      </c>
      <c r="D467" t="s">
        <v>40</v>
      </c>
      <c r="E467" t="s">
        <v>3</v>
      </c>
      <c r="F467" s="2">
        <v>608606.4</v>
      </c>
      <c r="G467" s="2"/>
    </row>
    <row r="468" spans="2:7" hidden="1">
      <c r="B468">
        <v>655676</v>
      </c>
      <c r="C468">
        <v>20240619</v>
      </c>
      <c r="D468" t="s">
        <v>40</v>
      </c>
      <c r="E468" t="s">
        <v>4</v>
      </c>
      <c r="F468" s="2"/>
      <c r="G468" s="2">
        <v>608606.4</v>
      </c>
    </row>
    <row r="469" spans="2:7" hidden="1">
      <c r="B469">
        <v>656125</v>
      </c>
      <c r="C469">
        <v>20240619</v>
      </c>
      <c r="D469" t="s">
        <v>40</v>
      </c>
      <c r="E469" t="s">
        <v>3</v>
      </c>
      <c r="F469" s="2">
        <v>646644.25</v>
      </c>
      <c r="G469" s="2"/>
    </row>
    <row r="470" spans="2:7" hidden="1">
      <c r="B470">
        <v>656124</v>
      </c>
      <c r="C470">
        <v>20240620</v>
      </c>
      <c r="D470" t="s">
        <v>40</v>
      </c>
      <c r="E470" t="s">
        <v>4</v>
      </c>
      <c r="F470" s="2"/>
      <c r="G470" s="2">
        <v>646644.25</v>
      </c>
    </row>
    <row r="471" spans="2:7" hidden="1">
      <c r="B471">
        <v>656547</v>
      </c>
      <c r="C471">
        <v>20240620</v>
      </c>
      <c r="D471" t="s">
        <v>40</v>
      </c>
      <c r="E471" t="s">
        <v>3</v>
      </c>
      <c r="F471" s="2">
        <v>684682.1</v>
      </c>
      <c r="G471" s="2"/>
    </row>
    <row r="472" spans="2:7" hidden="1">
      <c r="B472">
        <v>656546</v>
      </c>
      <c r="C472">
        <v>20240621</v>
      </c>
      <c r="D472" t="s">
        <v>40</v>
      </c>
      <c r="E472" t="s">
        <v>4</v>
      </c>
      <c r="F472" s="2"/>
      <c r="G472" s="2">
        <v>684682.1</v>
      </c>
    </row>
    <row r="473" spans="2:7" hidden="1">
      <c r="B473">
        <v>657003</v>
      </c>
      <c r="C473">
        <v>20240621</v>
      </c>
      <c r="D473" t="s">
        <v>40</v>
      </c>
      <c r="E473" t="s">
        <v>3</v>
      </c>
      <c r="F473" s="2">
        <v>722720.06</v>
      </c>
      <c r="G473" s="2"/>
    </row>
    <row r="474" spans="2:7" hidden="1">
      <c r="B474">
        <v>657002</v>
      </c>
      <c r="C474">
        <v>20240622</v>
      </c>
      <c r="D474" t="s">
        <v>40</v>
      </c>
      <c r="E474" t="s">
        <v>4</v>
      </c>
      <c r="F474" s="2"/>
      <c r="G474" s="2">
        <v>722720.06</v>
      </c>
    </row>
    <row r="475" spans="2:7" hidden="1">
      <c r="B475">
        <v>657703</v>
      </c>
      <c r="C475">
        <v>20240622</v>
      </c>
      <c r="D475" t="s">
        <v>40</v>
      </c>
      <c r="E475" t="s">
        <v>3</v>
      </c>
      <c r="F475" s="2">
        <v>760757.94</v>
      </c>
      <c r="G475" s="2"/>
    </row>
    <row r="476" spans="2:7" hidden="1">
      <c r="B476">
        <v>657702</v>
      </c>
      <c r="C476">
        <v>20240623</v>
      </c>
      <c r="D476" t="s">
        <v>40</v>
      </c>
      <c r="E476" t="s">
        <v>4</v>
      </c>
      <c r="F476" s="2"/>
      <c r="G476" s="2">
        <v>760757.94</v>
      </c>
    </row>
    <row r="477" spans="2:7" hidden="1">
      <c r="B477">
        <v>657914</v>
      </c>
      <c r="C477">
        <v>20240623</v>
      </c>
      <c r="D477" t="s">
        <v>40</v>
      </c>
      <c r="E477" t="s">
        <v>3</v>
      </c>
      <c r="F477" s="2">
        <v>798795.8</v>
      </c>
      <c r="G477" s="2"/>
    </row>
    <row r="478" spans="2:7" hidden="1">
      <c r="B478">
        <v>657913</v>
      </c>
      <c r="C478">
        <v>20240624</v>
      </c>
      <c r="D478" t="s">
        <v>40</v>
      </c>
      <c r="E478" t="s">
        <v>4</v>
      </c>
      <c r="F478" s="2"/>
      <c r="G478" s="2">
        <v>798795.8</v>
      </c>
    </row>
    <row r="479" spans="2:7" hidden="1">
      <c r="B479">
        <v>658358</v>
      </c>
      <c r="C479">
        <v>20240624</v>
      </c>
      <c r="D479" t="s">
        <v>40</v>
      </c>
      <c r="E479" t="s">
        <v>3</v>
      </c>
      <c r="F479" s="2">
        <v>836833.75</v>
      </c>
      <c r="G479" s="2"/>
    </row>
    <row r="480" spans="2:7" hidden="1">
      <c r="B480">
        <v>658357</v>
      </c>
      <c r="C480">
        <v>20240625</v>
      </c>
      <c r="D480" t="s">
        <v>40</v>
      </c>
      <c r="E480" t="s">
        <v>4</v>
      </c>
      <c r="F480" s="2"/>
      <c r="G480" s="2">
        <v>836833.75</v>
      </c>
    </row>
    <row r="481" spans="2:7" hidden="1">
      <c r="B481">
        <v>658924</v>
      </c>
      <c r="C481">
        <v>20240625</v>
      </c>
      <c r="D481" t="s">
        <v>40</v>
      </c>
      <c r="E481" t="s">
        <v>3</v>
      </c>
      <c r="F481" s="2">
        <v>876265</v>
      </c>
      <c r="G481" s="2"/>
    </row>
    <row r="482" spans="2:7" hidden="1">
      <c r="B482">
        <v>658923</v>
      </c>
      <c r="C482">
        <v>20240626</v>
      </c>
      <c r="D482" t="s">
        <v>40</v>
      </c>
      <c r="E482" t="s">
        <v>4</v>
      </c>
      <c r="F482" s="2"/>
      <c r="G482" s="2">
        <v>876265</v>
      </c>
    </row>
    <row r="483" spans="2:7" hidden="1">
      <c r="B483">
        <v>659470</v>
      </c>
      <c r="C483">
        <v>20240626</v>
      </c>
      <c r="D483" t="s">
        <v>40</v>
      </c>
      <c r="E483" t="s">
        <v>3</v>
      </c>
      <c r="F483" s="2">
        <v>915696.25</v>
      </c>
      <c r="G483" s="2"/>
    </row>
    <row r="484" spans="2:7" hidden="1">
      <c r="B484">
        <v>659469</v>
      </c>
      <c r="C484">
        <v>20240627</v>
      </c>
      <c r="D484" t="s">
        <v>40</v>
      </c>
      <c r="E484" t="s">
        <v>4</v>
      </c>
      <c r="F484" s="2"/>
      <c r="G484" s="2">
        <v>915696.25</v>
      </c>
    </row>
    <row r="485" spans="2:7" hidden="1">
      <c r="B485">
        <v>660325</v>
      </c>
      <c r="C485">
        <v>20240627</v>
      </c>
      <c r="D485" t="s">
        <v>40</v>
      </c>
      <c r="E485" t="s">
        <v>3</v>
      </c>
      <c r="F485" s="2">
        <v>955127.5</v>
      </c>
      <c r="G485" s="2"/>
    </row>
    <row r="486" spans="2:7" hidden="1">
      <c r="B486">
        <v>660324</v>
      </c>
      <c r="C486">
        <v>20240628</v>
      </c>
      <c r="D486" t="s">
        <v>40</v>
      </c>
      <c r="E486" t="s">
        <v>4</v>
      </c>
      <c r="F486" s="2"/>
      <c r="G486" s="2">
        <v>955127.5</v>
      </c>
    </row>
    <row r="487" spans="2:7" hidden="1">
      <c r="B487">
        <v>661071</v>
      </c>
      <c r="C487">
        <v>20240628</v>
      </c>
      <c r="D487" t="s">
        <v>40</v>
      </c>
      <c r="E487" t="s">
        <v>3</v>
      </c>
      <c r="F487" s="2">
        <v>994558.8</v>
      </c>
      <c r="G487" s="2"/>
    </row>
    <row r="488" spans="2:7" hidden="1">
      <c r="B488">
        <v>661070</v>
      </c>
      <c r="C488">
        <v>20240629</v>
      </c>
      <c r="D488" t="s">
        <v>40</v>
      </c>
      <c r="E488" t="s">
        <v>4</v>
      </c>
      <c r="F488" s="2"/>
      <c r="G488" s="2">
        <v>994558.8</v>
      </c>
    </row>
    <row r="489" spans="2:7" hidden="1">
      <c r="B489">
        <v>661643</v>
      </c>
      <c r="C489">
        <v>20240629</v>
      </c>
      <c r="D489" t="s">
        <v>40</v>
      </c>
      <c r="E489" t="s">
        <v>3</v>
      </c>
      <c r="F489" s="2">
        <v>1033990.06</v>
      </c>
      <c r="G489" s="2"/>
    </row>
    <row r="490" spans="2:7" hidden="1">
      <c r="B490">
        <v>661642</v>
      </c>
      <c r="C490">
        <v>20240630</v>
      </c>
      <c r="D490" t="s">
        <v>40</v>
      </c>
      <c r="E490" t="s">
        <v>4</v>
      </c>
      <c r="F490" s="2"/>
      <c r="G490" s="2">
        <v>1033990.06</v>
      </c>
    </row>
    <row r="491" spans="2:7" hidden="1">
      <c r="B491">
        <v>661866</v>
      </c>
      <c r="C491">
        <v>20240630</v>
      </c>
      <c r="D491" t="s">
        <v>40</v>
      </c>
      <c r="E491" t="s">
        <v>3</v>
      </c>
      <c r="F491" s="2">
        <v>1073421.3999999999</v>
      </c>
      <c r="G491" s="2"/>
    </row>
    <row r="492" spans="2:7" hidden="1">
      <c r="B492">
        <v>661865</v>
      </c>
      <c r="C492">
        <v>20240701</v>
      </c>
      <c r="D492" t="s">
        <v>40</v>
      </c>
      <c r="E492" t="s">
        <v>4</v>
      </c>
      <c r="F492" s="2"/>
      <c r="G492" s="2">
        <v>1073421.3999999999</v>
      </c>
    </row>
    <row r="493" spans="2:7" hidden="1">
      <c r="B493">
        <v>662381</v>
      </c>
      <c r="C493">
        <v>20240701</v>
      </c>
      <c r="D493" t="s">
        <v>40</v>
      </c>
      <c r="E493" t="s">
        <v>3</v>
      </c>
      <c r="F493" s="2">
        <v>1112852.6000000001</v>
      </c>
      <c r="G493" s="2"/>
    </row>
    <row r="494" spans="2:7">
      <c r="B494">
        <v>715707</v>
      </c>
      <c r="C494">
        <v>20240701</v>
      </c>
      <c r="D494" t="s">
        <v>37</v>
      </c>
      <c r="E494" t="s">
        <v>3</v>
      </c>
      <c r="F494" s="2">
        <v>1139513</v>
      </c>
      <c r="G494" s="2"/>
    </row>
    <row r="495" spans="2:7" hidden="1">
      <c r="B495">
        <v>662380</v>
      </c>
      <c r="C495">
        <v>20240702</v>
      </c>
      <c r="D495" t="s">
        <v>40</v>
      </c>
      <c r="E495" t="s">
        <v>4</v>
      </c>
      <c r="F495" s="2"/>
      <c r="G495" s="2">
        <v>1112852.6000000001</v>
      </c>
    </row>
    <row r="496" spans="2:7" hidden="1">
      <c r="B496">
        <v>663465</v>
      </c>
      <c r="C496">
        <v>20240702</v>
      </c>
      <c r="D496" t="s">
        <v>40</v>
      </c>
      <c r="E496" t="s">
        <v>3</v>
      </c>
      <c r="F496" s="2">
        <v>39682.769999999997</v>
      </c>
      <c r="G496" s="2"/>
    </row>
    <row r="497" spans="2:7" hidden="1">
      <c r="B497">
        <v>663464</v>
      </c>
      <c r="C497">
        <v>20240703</v>
      </c>
      <c r="D497" t="s">
        <v>40</v>
      </c>
      <c r="E497" t="s">
        <v>4</v>
      </c>
      <c r="F497" s="2"/>
      <c r="G497" s="2">
        <v>39682.769999999997</v>
      </c>
    </row>
    <row r="498" spans="2:7" hidden="1">
      <c r="B498">
        <v>664137</v>
      </c>
      <c r="C498">
        <v>20240703</v>
      </c>
      <c r="D498" t="s">
        <v>40</v>
      </c>
      <c r="E498" t="s">
        <v>3</v>
      </c>
      <c r="F498" s="2">
        <v>79365.539999999994</v>
      </c>
      <c r="G498" s="2"/>
    </row>
    <row r="499" spans="2:7" hidden="1">
      <c r="B499">
        <v>664136</v>
      </c>
      <c r="C499">
        <v>20240704</v>
      </c>
      <c r="D499" t="s">
        <v>40</v>
      </c>
      <c r="E499" t="s">
        <v>4</v>
      </c>
      <c r="F499" s="2"/>
      <c r="G499" s="2">
        <v>79365.539999999994</v>
      </c>
    </row>
    <row r="500" spans="2:7" hidden="1">
      <c r="B500">
        <v>664724</v>
      </c>
      <c r="C500">
        <v>20240704</v>
      </c>
      <c r="D500" t="s">
        <v>40</v>
      </c>
      <c r="E500" t="s">
        <v>3</v>
      </c>
      <c r="F500" s="2">
        <v>119048.32000000001</v>
      </c>
      <c r="G500" s="2"/>
    </row>
    <row r="501" spans="2:7" hidden="1">
      <c r="B501">
        <v>664723</v>
      </c>
      <c r="C501">
        <v>20240705</v>
      </c>
      <c r="D501" t="s">
        <v>40</v>
      </c>
      <c r="E501" t="s">
        <v>4</v>
      </c>
      <c r="F501" s="2"/>
      <c r="G501" s="2">
        <v>119048.32000000001</v>
      </c>
    </row>
    <row r="502" spans="2:7" hidden="1">
      <c r="B502">
        <v>665349</v>
      </c>
      <c r="C502">
        <v>20240705</v>
      </c>
      <c r="D502" t="s">
        <v>40</v>
      </c>
      <c r="E502" t="s">
        <v>3</v>
      </c>
      <c r="F502" s="2">
        <v>196543.23</v>
      </c>
      <c r="G502" s="2"/>
    </row>
    <row r="503" spans="2:7" hidden="1">
      <c r="B503">
        <v>665348</v>
      </c>
      <c r="C503">
        <v>20240706</v>
      </c>
      <c r="D503" t="s">
        <v>40</v>
      </c>
      <c r="E503" t="s">
        <v>4</v>
      </c>
      <c r="F503" s="2"/>
      <c r="G503" s="2">
        <v>196543.23</v>
      </c>
    </row>
    <row r="504" spans="2:7" hidden="1">
      <c r="B504">
        <v>666214</v>
      </c>
      <c r="C504">
        <v>20240706</v>
      </c>
      <c r="D504" t="s">
        <v>40</v>
      </c>
      <c r="E504" t="s">
        <v>3</v>
      </c>
      <c r="F504" s="2">
        <v>236692.6</v>
      </c>
      <c r="G504" s="2"/>
    </row>
    <row r="505" spans="2:7" hidden="1">
      <c r="B505">
        <v>666213</v>
      </c>
      <c r="C505">
        <v>20240707</v>
      </c>
      <c r="D505" t="s">
        <v>40</v>
      </c>
      <c r="E505" t="s">
        <v>4</v>
      </c>
      <c r="F505" s="2"/>
      <c r="G505" s="2">
        <v>236692.6</v>
      </c>
    </row>
    <row r="506" spans="2:7" hidden="1">
      <c r="B506">
        <v>666426</v>
      </c>
      <c r="C506">
        <v>20240707</v>
      </c>
      <c r="D506" t="s">
        <v>40</v>
      </c>
      <c r="E506" t="s">
        <v>3</v>
      </c>
      <c r="F506" s="2">
        <v>276841.94</v>
      </c>
      <c r="G506" s="2"/>
    </row>
    <row r="507" spans="2:7" hidden="1">
      <c r="B507">
        <v>666425</v>
      </c>
      <c r="C507">
        <v>20240708</v>
      </c>
      <c r="D507" t="s">
        <v>40</v>
      </c>
      <c r="E507" t="s">
        <v>4</v>
      </c>
      <c r="F507" s="2"/>
      <c r="G507" s="2">
        <v>276841.94</v>
      </c>
    </row>
    <row r="508" spans="2:7" hidden="1">
      <c r="B508">
        <v>666933</v>
      </c>
      <c r="C508">
        <v>20240708</v>
      </c>
      <c r="D508" t="s">
        <v>40</v>
      </c>
      <c r="E508" t="s">
        <v>3</v>
      </c>
      <c r="F508" s="2">
        <v>316991.3</v>
      </c>
      <c r="G508" s="2"/>
    </row>
    <row r="509" spans="2:7" hidden="1">
      <c r="B509">
        <v>666932</v>
      </c>
      <c r="C509">
        <v>20240709</v>
      </c>
      <c r="D509" t="s">
        <v>40</v>
      </c>
      <c r="E509" t="s">
        <v>4</v>
      </c>
      <c r="F509" s="2"/>
      <c r="G509" s="2">
        <v>316991.3</v>
      </c>
    </row>
    <row r="510" spans="2:7" hidden="1">
      <c r="B510">
        <v>667501</v>
      </c>
      <c r="C510">
        <v>20240709</v>
      </c>
      <c r="D510" t="s">
        <v>40</v>
      </c>
      <c r="E510" t="s">
        <v>3</v>
      </c>
      <c r="F510" s="2">
        <v>357140.66</v>
      </c>
      <c r="G510" s="2"/>
    </row>
    <row r="511" spans="2:7" hidden="1">
      <c r="B511">
        <v>667500</v>
      </c>
      <c r="C511">
        <v>20240710</v>
      </c>
      <c r="D511" t="s">
        <v>40</v>
      </c>
      <c r="E511" t="s">
        <v>4</v>
      </c>
      <c r="F511" s="2"/>
      <c r="G511" s="2">
        <v>357140.66</v>
      </c>
    </row>
    <row r="512" spans="2:7" hidden="1">
      <c r="B512">
        <v>667951</v>
      </c>
      <c r="C512">
        <v>20240710</v>
      </c>
      <c r="D512" t="s">
        <v>40</v>
      </c>
      <c r="E512" t="s">
        <v>3</v>
      </c>
      <c r="F512" s="2">
        <v>397290.03</v>
      </c>
      <c r="G512" s="2"/>
    </row>
    <row r="513" spans="2:7" hidden="1">
      <c r="B513">
        <v>667950</v>
      </c>
      <c r="C513">
        <v>20240711</v>
      </c>
      <c r="D513" t="s">
        <v>40</v>
      </c>
      <c r="E513" t="s">
        <v>4</v>
      </c>
      <c r="F513" s="2"/>
      <c r="G513" s="2">
        <v>397290.03</v>
      </c>
    </row>
    <row r="514" spans="2:7" hidden="1">
      <c r="B514">
        <v>668398</v>
      </c>
      <c r="C514">
        <v>20240711</v>
      </c>
      <c r="D514" t="s">
        <v>40</v>
      </c>
      <c r="E514" t="s">
        <v>3</v>
      </c>
      <c r="F514" s="2">
        <v>437439.38</v>
      </c>
      <c r="G514" s="2"/>
    </row>
    <row r="515" spans="2:7" hidden="1">
      <c r="B515">
        <v>668397</v>
      </c>
      <c r="C515">
        <v>20240712</v>
      </c>
      <c r="D515" t="s">
        <v>40</v>
      </c>
      <c r="E515" t="s">
        <v>4</v>
      </c>
      <c r="F515" s="2"/>
      <c r="G515" s="2">
        <v>437439.38</v>
      </c>
    </row>
    <row r="516" spans="2:7" hidden="1">
      <c r="B516">
        <v>668864</v>
      </c>
      <c r="C516">
        <v>20240712</v>
      </c>
      <c r="D516" t="s">
        <v>40</v>
      </c>
      <c r="E516" t="s">
        <v>3</v>
      </c>
      <c r="F516" s="2">
        <v>477588.72</v>
      </c>
      <c r="G516" s="2"/>
    </row>
    <row r="517" spans="2:7" hidden="1">
      <c r="B517">
        <v>668863</v>
      </c>
      <c r="C517">
        <v>20240713</v>
      </c>
      <c r="D517" t="s">
        <v>40</v>
      </c>
      <c r="E517" t="s">
        <v>4</v>
      </c>
      <c r="F517" s="2"/>
      <c r="G517" s="2">
        <v>477588.72</v>
      </c>
    </row>
    <row r="518" spans="2:7" hidden="1">
      <c r="B518">
        <v>669187</v>
      </c>
      <c r="C518">
        <v>20240713</v>
      </c>
      <c r="D518" t="s">
        <v>40</v>
      </c>
      <c r="E518" t="s">
        <v>3</v>
      </c>
      <c r="F518" s="2">
        <v>517738.1</v>
      </c>
      <c r="G518" s="2"/>
    </row>
    <row r="519" spans="2:7" hidden="1">
      <c r="B519">
        <v>669186</v>
      </c>
      <c r="C519">
        <v>20240714</v>
      </c>
      <c r="D519" t="s">
        <v>40</v>
      </c>
      <c r="E519" t="s">
        <v>4</v>
      </c>
      <c r="F519" s="2"/>
      <c r="G519" s="2">
        <v>517738.1</v>
      </c>
    </row>
    <row r="520" spans="2:7" hidden="1">
      <c r="B520">
        <v>669405</v>
      </c>
      <c r="C520">
        <v>20240714</v>
      </c>
      <c r="D520" t="s">
        <v>40</v>
      </c>
      <c r="E520" t="s">
        <v>3</v>
      </c>
      <c r="F520" s="2">
        <v>557887.43999999994</v>
      </c>
      <c r="G520" s="2"/>
    </row>
    <row r="521" spans="2:7" hidden="1">
      <c r="B521">
        <v>669404</v>
      </c>
      <c r="C521">
        <v>20240715</v>
      </c>
      <c r="D521" t="s">
        <v>40</v>
      </c>
      <c r="E521" t="s">
        <v>4</v>
      </c>
      <c r="F521" s="2"/>
      <c r="G521" s="2">
        <v>557887.43999999994</v>
      </c>
    </row>
    <row r="522" spans="2:7" hidden="1">
      <c r="B522">
        <v>669802</v>
      </c>
      <c r="C522">
        <v>20240715</v>
      </c>
      <c r="D522" t="s">
        <v>40</v>
      </c>
      <c r="E522" t="s">
        <v>3</v>
      </c>
      <c r="F522" s="2">
        <v>598036.80000000005</v>
      </c>
      <c r="G522" s="2"/>
    </row>
    <row r="523" spans="2:7" hidden="1">
      <c r="B523">
        <v>669801</v>
      </c>
      <c r="C523">
        <v>20240716</v>
      </c>
      <c r="D523" t="s">
        <v>40</v>
      </c>
      <c r="E523" t="s">
        <v>4</v>
      </c>
      <c r="F523" s="2"/>
      <c r="G523" s="2">
        <v>598036.80000000005</v>
      </c>
    </row>
    <row r="524" spans="2:7" hidden="1">
      <c r="B524">
        <v>670258</v>
      </c>
      <c r="C524">
        <v>20240716</v>
      </c>
      <c r="D524" t="s">
        <v>40</v>
      </c>
      <c r="E524" t="s">
        <v>3</v>
      </c>
      <c r="F524" s="2">
        <v>638186.19999999995</v>
      </c>
      <c r="G524" s="2"/>
    </row>
    <row r="525" spans="2:7" hidden="1">
      <c r="B525">
        <v>670257</v>
      </c>
      <c r="C525">
        <v>20240717</v>
      </c>
      <c r="D525" t="s">
        <v>40</v>
      </c>
      <c r="E525" t="s">
        <v>4</v>
      </c>
      <c r="F525" s="2"/>
      <c r="G525" s="2">
        <v>638186.19999999995</v>
      </c>
    </row>
    <row r="526" spans="2:7" hidden="1">
      <c r="B526">
        <v>670677</v>
      </c>
      <c r="C526">
        <v>20240717</v>
      </c>
      <c r="D526" t="s">
        <v>40</v>
      </c>
      <c r="E526" t="s">
        <v>3</v>
      </c>
      <c r="F526" s="2">
        <v>678335.5</v>
      </c>
      <c r="G526" s="2"/>
    </row>
    <row r="527" spans="2:7" hidden="1">
      <c r="B527">
        <v>670676</v>
      </c>
      <c r="C527">
        <v>20240718</v>
      </c>
      <c r="D527" t="s">
        <v>40</v>
      </c>
      <c r="E527" t="s">
        <v>4</v>
      </c>
      <c r="F527" s="2"/>
      <c r="G527" s="2">
        <v>678335.5</v>
      </c>
    </row>
    <row r="528" spans="2:7" hidden="1">
      <c r="B528">
        <v>671139</v>
      </c>
      <c r="C528">
        <v>20240718</v>
      </c>
      <c r="D528" t="s">
        <v>40</v>
      </c>
      <c r="E528" t="s">
        <v>3</v>
      </c>
      <c r="F528" s="2">
        <v>718484.9</v>
      </c>
      <c r="G528" s="2"/>
    </row>
    <row r="529" spans="2:7" hidden="1">
      <c r="B529">
        <v>671138</v>
      </c>
      <c r="C529">
        <v>20240719</v>
      </c>
      <c r="D529" t="s">
        <v>40</v>
      </c>
      <c r="E529" t="s">
        <v>4</v>
      </c>
      <c r="F529" s="2"/>
      <c r="G529" s="2">
        <v>718484.9</v>
      </c>
    </row>
    <row r="530" spans="2:7" hidden="1">
      <c r="B530">
        <v>671589</v>
      </c>
      <c r="C530">
        <v>20240719</v>
      </c>
      <c r="D530" t="s">
        <v>40</v>
      </c>
      <c r="E530" t="s">
        <v>3</v>
      </c>
      <c r="F530" s="2">
        <v>758634.25</v>
      </c>
      <c r="G530" s="2"/>
    </row>
    <row r="531" spans="2:7" hidden="1">
      <c r="B531">
        <v>671588</v>
      </c>
      <c r="C531">
        <v>20240720</v>
      </c>
      <c r="D531" t="s">
        <v>40</v>
      </c>
      <c r="E531" t="s">
        <v>4</v>
      </c>
      <c r="F531" s="2"/>
      <c r="G531" s="2">
        <v>758634.25</v>
      </c>
    </row>
    <row r="532" spans="2:7" hidden="1">
      <c r="B532">
        <v>671930</v>
      </c>
      <c r="C532">
        <v>20240720</v>
      </c>
      <c r="D532" t="s">
        <v>40</v>
      </c>
      <c r="E532" t="s">
        <v>3</v>
      </c>
      <c r="F532" s="2">
        <v>798783.56</v>
      </c>
      <c r="G532" s="2"/>
    </row>
    <row r="533" spans="2:7" hidden="1">
      <c r="B533">
        <v>671929</v>
      </c>
      <c r="C533">
        <v>20240721</v>
      </c>
      <c r="D533" t="s">
        <v>40</v>
      </c>
      <c r="E533" t="s">
        <v>4</v>
      </c>
      <c r="F533" s="2"/>
      <c r="G533" s="2">
        <v>798783.56</v>
      </c>
    </row>
    <row r="534" spans="2:7" hidden="1">
      <c r="B534">
        <v>672159</v>
      </c>
      <c r="C534">
        <v>20240721</v>
      </c>
      <c r="D534" t="s">
        <v>40</v>
      </c>
      <c r="E534" t="s">
        <v>3</v>
      </c>
      <c r="F534" s="2">
        <v>838932.94</v>
      </c>
      <c r="G534" s="2"/>
    </row>
    <row r="535" spans="2:7" hidden="1">
      <c r="B535">
        <v>672158</v>
      </c>
      <c r="C535">
        <v>20240722</v>
      </c>
      <c r="D535" t="s">
        <v>40</v>
      </c>
      <c r="E535" t="s">
        <v>4</v>
      </c>
      <c r="F535" s="2"/>
      <c r="G535" s="2">
        <v>838932.94</v>
      </c>
    </row>
    <row r="536" spans="2:7" hidden="1">
      <c r="B536">
        <v>672597</v>
      </c>
      <c r="C536">
        <v>20240722</v>
      </c>
      <c r="D536" t="s">
        <v>40</v>
      </c>
      <c r="E536" t="s">
        <v>3</v>
      </c>
      <c r="F536" s="2">
        <v>879082.3</v>
      </c>
      <c r="G536" s="2"/>
    </row>
    <row r="537" spans="2:7" hidden="1">
      <c r="B537">
        <v>672596</v>
      </c>
      <c r="C537">
        <v>20240723</v>
      </c>
      <c r="D537" t="s">
        <v>40</v>
      </c>
      <c r="E537" t="s">
        <v>4</v>
      </c>
      <c r="F537" s="2"/>
      <c r="G537" s="2">
        <v>879082.3</v>
      </c>
    </row>
    <row r="538" spans="2:7" hidden="1">
      <c r="B538">
        <v>673095</v>
      </c>
      <c r="C538">
        <v>20240723</v>
      </c>
      <c r="D538" t="s">
        <v>40</v>
      </c>
      <c r="E538" t="s">
        <v>3</v>
      </c>
      <c r="F538" s="2">
        <v>919231.7</v>
      </c>
      <c r="G538" s="2"/>
    </row>
    <row r="539" spans="2:7" hidden="1">
      <c r="B539">
        <v>673094</v>
      </c>
      <c r="C539">
        <v>20240724</v>
      </c>
      <c r="D539" t="s">
        <v>40</v>
      </c>
      <c r="E539" t="s">
        <v>4</v>
      </c>
      <c r="F539" s="2"/>
      <c r="G539" s="2">
        <v>919231.7</v>
      </c>
    </row>
    <row r="540" spans="2:7" hidden="1">
      <c r="B540">
        <v>673579</v>
      </c>
      <c r="C540">
        <v>20240724</v>
      </c>
      <c r="D540" t="s">
        <v>40</v>
      </c>
      <c r="E540" t="s">
        <v>3</v>
      </c>
      <c r="F540" s="2">
        <v>959381</v>
      </c>
      <c r="G540" s="2"/>
    </row>
    <row r="541" spans="2:7" hidden="1">
      <c r="B541">
        <v>673578</v>
      </c>
      <c r="C541">
        <v>20240725</v>
      </c>
      <c r="D541" t="s">
        <v>40</v>
      </c>
      <c r="E541" t="s">
        <v>4</v>
      </c>
      <c r="F541" s="2"/>
      <c r="G541" s="2">
        <v>959381</v>
      </c>
    </row>
    <row r="542" spans="2:7" hidden="1">
      <c r="B542">
        <v>674171</v>
      </c>
      <c r="C542">
        <v>20240725</v>
      </c>
      <c r="D542" t="s">
        <v>40</v>
      </c>
      <c r="E542" t="s">
        <v>3</v>
      </c>
      <c r="F542" s="2">
        <v>999530.4</v>
      </c>
      <c r="G542" s="2"/>
    </row>
    <row r="543" spans="2:7" hidden="1">
      <c r="B543">
        <v>674170</v>
      </c>
      <c r="C543">
        <v>20240726</v>
      </c>
      <c r="D543" t="s">
        <v>40</v>
      </c>
      <c r="E543" t="s">
        <v>4</v>
      </c>
      <c r="F543" s="2"/>
      <c r="G543" s="2">
        <v>999530.4</v>
      </c>
    </row>
    <row r="544" spans="2:7" hidden="1">
      <c r="B544">
        <v>674829</v>
      </c>
      <c r="C544">
        <v>20240726</v>
      </c>
      <c r="D544" t="s">
        <v>40</v>
      </c>
      <c r="E544" t="s">
        <v>3</v>
      </c>
      <c r="F544" s="2">
        <v>1039679.75</v>
      </c>
      <c r="G544" s="2"/>
    </row>
    <row r="545" spans="2:7" hidden="1">
      <c r="B545">
        <v>674828</v>
      </c>
      <c r="C545">
        <v>20240727</v>
      </c>
      <c r="D545" t="s">
        <v>40</v>
      </c>
      <c r="E545" t="s">
        <v>4</v>
      </c>
      <c r="F545" s="2"/>
      <c r="G545" s="2">
        <v>1039679.75</v>
      </c>
    </row>
    <row r="546" spans="2:7" hidden="1">
      <c r="B546">
        <v>675251</v>
      </c>
      <c r="C546">
        <v>20240727</v>
      </c>
      <c r="D546" t="s">
        <v>40</v>
      </c>
      <c r="E546" t="s">
        <v>3</v>
      </c>
      <c r="F546" s="2">
        <v>1079829.1000000001</v>
      </c>
      <c r="G546" s="2"/>
    </row>
    <row r="547" spans="2:7" hidden="1">
      <c r="B547">
        <v>675250</v>
      </c>
      <c r="C547">
        <v>20240728</v>
      </c>
      <c r="D547" t="s">
        <v>40</v>
      </c>
      <c r="E547" t="s">
        <v>4</v>
      </c>
      <c r="F547" s="2"/>
      <c r="G547" s="2">
        <v>1079829.1000000001</v>
      </c>
    </row>
    <row r="548" spans="2:7" hidden="1">
      <c r="B548">
        <v>675493</v>
      </c>
      <c r="C548">
        <v>20240728</v>
      </c>
      <c r="D548" t="s">
        <v>40</v>
      </c>
      <c r="E548" t="s">
        <v>3</v>
      </c>
      <c r="F548" s="2">
        <v>1119978.5</v>
      </c>
      <c r="G548" s="2"/>
    </row>
    <row r="549" spans="2:7" hidden="1">
      <c r="B549">
        <v>675492</v>
      </c>
      <c r="C549">
        <v>20240729</v>
      </c>
      <c r="D549" t="s">
        <v>40</v>
      </c>
      <c r="E549" t="s">
        <v>4</v>
      </c>
      <c r="F549" s="2"/>
      <c r="G549" s="2">
        <v>1119978.5</v>
      </c>
    </row>
    <row r="550" spans="2:7" hidden="1">
      <c r="B550">
        <v>676021</v>
      </c>
      <c r="C550">
        <v>20240729</v>
      </c>
      <c r="D550" t="s">
        <v>40</v>
      </c>
      <c r="E550" t="s">
        <v>3</v>
      </c>
      <c r="F550" s="2">
        <v>1160127.8</v>
      </c>
      <c r="G550" s="2"/>
    </row>
    <row r="551" spans="2:7" hidden="1">
      <c r="B551">
        <v>676020</v>
      </c>
      <c r="C551">
        <v>20240730</v>
      </c>
      <c r="D551" t="s">
        <v>40</v>
      </c>
      <c r="E551" t="s">
        <v>4</v>
      </c>
      <c r="F551" s="2"/>
      <c r="G551" s="2">
        <v>1160127.8</v>
      </c>
    </row>
    <row r="552" spans="2:7" hidden="1">
      <c r="B552">
        <v>676909</v>
      </c>
      <c r="C552">
        <v>20240730</v>
      </c>
      <c r="D552" t="s">
        <v>40</v>
      </c>
      <c r="E552" t="s">
        <v>3</v>
      </c>
      <c r="F552" s="2">
        <v>1200277.1000000001</v>
      </c>
      <c r="G552" s="2"/>
    </row>
    <row r="553" spans="2:7" hidden="1">
      <c r="B553">
        <v>676908</v>
      </c>
      <c r="C553">
        <v>20240731</v>
      </c>
      <c r="D553" t="s">
        <v>40</v>
      </c>
      <c r="E553" t="s">
        <v>4</v>
      </c>
      <c r="F553" s="2"/>
      <c r="G553" s="2">
        <v>1200277.1000000001</v>
      </c>
    </row>
    <row r="554" spans="2:7" hidden="1">
      <c r="B554">
        <v>677631</v>
      </c>
      <c r="C554">
        <v>20240731</v>
      </c>
      <c r="D554" t="s">
        <v>40</v>
      </c>
      <c r="E554" t="s">
        <v>3</v>
      </c>
      <c r="F554" s="2">
        <v>1240426.5</v>
      </c>
      <c r="G554" s="2"/>
    </row>
    <row r="555" spans="2:7" hidden="1">
      <c r="B555">
        <v>677630</v>
      </c>
      <c r="C555">
        <v>20240801</v>
      </c>
      <c r="D555" t="s">
        <v>40</v>
      </c>
      <c r="E555" t="s">
        <v>4</v>
      </c>
      <c r="F555" s="2"/>
      <c r="G555" s="2">
        <v>1240426.5</v>
      </c>
    </row>
    <row r="556" spans="2:7" hidden="1">
      <c r="B556">
        <v>678450</v>
      </c>
      <c r="C556">
        <v>20240801</v>
      </c>
      <c r="D556" t="s">
        <v>40</v>
      </c>
      <c r="E556" t="s">
        <v>3</v>
      </c>
      <c r="F556" s="2">
        <v>40149.360000000001</v>
      </c>
      <c r="G556" s="2"/>
    </row>
    <row r="557" spans="2:7">
      <c r="B557">
        <v>715706</v>
      </c>
      <c r="C557">
        <v>20240801</v>
      </c>
      <c r="D557" t="s">
        <v>37</v>
      </c>
      <c r="E557" t="s">
        <v>3</v>
      </c>
      <c r="F557" s="2">
        <v>1240426.5</v>
      </c>
      <c r="G557" s="2"/>
    </row>
    <row r="558" spans="2:7" hidden="1">
      <c r="B558">
        <v>678449</v>
      </c>
      <c r="C558">
        <v>20240802</v>
      </c>
      <c r="D558" t="s">
        <v>40</v>
      </c>
      <c r="E558" t="s">
        <v>4</v>
      </c>
      <c r="F558" s="2"/>
      <c r="G558" s="2">
        <v>40149.360000000001</v>
      </c>
    </row>
    <row r="559" spans="2:7" hidden="1">
      <c r="B559">
        <v>679147</v>
      </c>
      <c r="C559">
        <v>20240802</v>
      </c>
      <c r="D559" t="s">
        <v>40</v>
      </c>
      <c r="E559" t="s">
        <v>3</v>
      </c>
      <c r="F559" s="2">
        <v>80298.710000000006</v>
      </c>
      <c r="G559" s="2"/>
    </row>
    <row r="560" spans="2:7" hidden="1">
      <c r="B560">
        <v>679146</v>
      </c>
      <c r="C560">
        <v>20240803</v>
      </c>
      <c r="D560" t="s">
        <v>40</v>
      </c>
      <c r="E560" t="s">
        <v>4</v>
      </c>
      <c r="F560" s="2"/>
      <c r="G560" s="2">
        <v>80298.710000000006</v>
      </c>
    </row>
    <row r="561" spans="2:7" hidden="1">
      <c r="B561">
        <v>679746</v>
      </c>
      <c r="C561">
        <v>20240803</v>
      </c>
      <c r="D561" t="s">
        <v>40</v>
      </c>
      <c r="E561" t="s">
        <v>3</v>
      </c>
      <c r="F561" s="2">
        <v>120448.07</v>
      </c>
      <c r="G561" s="2"/>
    </row>
    <row r="562" spans="2:7" hidden="1">
      <c r="B562">
        <v>679745</v>
      </c>
      <c r="C562">
        <v>20240804</v>
      </c>
      <c r="D562" t="s">
        <v>40</v>
      </c>
      <c r="E562" t="s">
        <v>4</v>
      </c>
      <c r="F562" s="2"/>
      <c r="G562" s="2">
        <v>120448.07</v>
      </c>
    </row>
    <row r="563" spans="2:7" hidden="1">
      <c r="B563">
        <v>679993</v>
      </c>
      <c r="C563">
        <v>20240804</v>
      </c>
      <c r="D563" t="s">
        <v>40</v>
      </c>
      <c r="E563" t="s">
        <v>3</v>
      </c>
      <c r="F563" s="2">
        <v>160597.44</v>
      </c>
      <c r="G563" s="2"/>
    </row>
    <row r="564" spans="2:7" hidden="1">
      <c r="B564">
        <v>679992</v>
      </c>
      <c r="C564">
        <v>20240805</v>
      </c>
      <c r="D564" t="s">
        <v>40</v>
      </c>
      <c r="E564" t="s">
        <v>4</v>
      </c>
      <c r="F564" s="2"/>
      <c r="G564" s="2">
        <v>160597.44</v>
      </c>
    </row>
    <row r="565" spans="2:7" hidden="1">
      <c r="B565">
        <v>680443</v>
      </c>
      <c r="C565">
        <v>20240805</v>
      </c>
      <c r="D565" t="s">
        <v>40</v>
      </c>
      <c r="E565" t="s">
        <v>3</v>
      </c>
      <c r="F565" s="2">
        <v>200746.78</v>
      </c>
      <c r="G565" s="2"/>
    </row>
    <row r="566" spans="2:7" hidden="1">
      <c r="B566">
        <v>680442</v>
      </c>
      <c r="C566">
        <v>20240806</v>
      </c>
      <c r="D566" t="s">
        <v>40</v>
      </c>
      <c r="E566" t="s">
        <v>4</v>
      </c>
      <c r="F566" s="2"/>
      <c r="G566" s="2">
        <v>200746.78</v>
      </c>
    </row>
    <row r="567" spans="2:7" hidden="1">
      <c r="B567">
        <v>681278</v>
      </c>
      <c r="C567">
        <v>20240806</v>
      </c>
      <c r="D567" t="s">
        <v>40</v>
      </c>
      <c r="E567" t="s">
        <v>3</v>
      </c>
      <c r="F567" s="2">
        <v>240896.14</v>
      </c>
      <c r="G567" s="2"/>
    </row>
    <row r="568" spans="2:7" hidden="1">
      <c r="B568">
        <v>681277</v>
      </c>
      <c r="C568">
        <v>20240807</v>
      </c>
      <c r="D568" t="s">
        <v>40</v>
      </c>
      <c r="E568" t="s">
        <v>4</v>
      </c>
      <c r="F568" s="2"/>
      <c r="G568" s="2">
        <v>240896.14</v>
      </c>
    </row>
    <row r="569" spans="2:7" hidden="1">
      <c r="B569">
        <v>682031</v>
      </c>
      <c r="C569">
        <v>20240807</v>
      </c>
      <c r="D569" t="s">
        <v>40</v>
      </c>
      <c r="E569" t="s">
        <v>3</v>
      </c>
      <c r="F569" s="2">
        <v>281045.5</v>
      </c>
      <c r="G569" s="2"/>
    </row>
    <row r="570" spans="2:7" hidden="1">
      <c r="B570">
        <v>682030</v>
      </c>
      <c r="C570">
        <v>20240808</v>
      </c>
      <c r="D570" t="s">
        <v>40</v>
      </c>
      <c r="E570" t="s">
        <v>4</v>
      </c>
      <c r="F570" s="2"/>
      <c r="G570" s="2">
        <v>281045.5</v>
      </c>
    </row>
    <row r="571" spans="2:7" hidden="1">
      <c r="B571">
        <v>682531</v>
      </c>
      <c r="C571">
        <v>20240808</v>
      </c>
      <c r="D571" t="s">
        <v>40</v>
      </c>
      <c r="E571" t="s">
        <v>3</v>
      </c>
      <c r="F571" s="2">
        <v>321194.84000000003</v>
      </c>
      <c r="G571" s="2"/>
    </row>
    <row r="572" spans="2:7" hidden="1">
      <c r="B572">
        <v>682530</v>
      </c>
      <c r="C572">
        <v>20240809</v>
      </c>
      <c r="D572" t="s">
        <v>40</v>
      </c>
      <c r="E572" t="s">
        <v>4</v>
      </c>
      <c r="F572" s="2"/>
      <c r="G572" s="2">
        <v>321194.84000000003</v>
      </c>
    </row>
    <row r="573" spans="2:7" hidden="1">
      <c r="B573">
        <v>682859</v>
      </c>
      <c r="C573">
        <v>20240809</v>
      </c>
      <c r="D573" t="s">
        <v>40</v>
      </c>
      <c r="E573" t="s">
        <v>3</v>
      </c>
      <c r="F573" s="2">
        <v>361344.22</v>
      </c>
      <c r="G573" s="2"/>
    </row>
    <row r="574" spans="2:7" hidden="1">
      <c r="B574">
        <v>682858</v>
      </c>
      <c r="C574">
        <v>20240810</v>
      </c>
      <c r="D574" t="s">
        <v>40</v>
      </c>
      <c r="E574" t="s">
        <v>4</v>
      </c>
      <c r="F574" s="2"/>
      <c r="G574" s="2">
        <v>361344.22</v>
      </c>
    </row>
    <row r="575" spans="2:7" hidden="1">
      <c r="B575">
        <v>683141</v>
      </c>
      <c r="C575">
        <v>20240810</v>
      </c>
      <c r="D575" t="s">
        <v>40</v>
      </c>
      <c r="E575" t="s">
        <v>3</v>
      </c>
      <c r="F575" s="2">
        <v>401493.56</v>
      </c>
      <c r="G575" s="2"/>
    </row>
    <row r="576" spans="2:7" hidden="1">
      <c r="B576">
        <v>683140</v>
      </c>
      <c r="C576">
        <v>20240811</v>
      </c>
      <c r="D576" t="s">
        <v>40</v>
      </c>
      <c r="E576" t="s">
        <v>4</v>
      </c>
      <c r="F576" s="2"/>
      <c r="G576" s="2">
        <v>401493.56</v>
      </c>
    </row>
    <row r="577" spans="2:7" hidden="1">
      <c r="B577">
        <v>683386</v>
      </c>
      <c r="C577">
        <v>20240811</v>
      </c>
      <c r="D577" t="s">
        <v>40</v>
      </c>
      <c r="E577" t="s">
        <v>3</v>
      </c>
      <c r="F577" s="2">
        <v>441642.9</v>
      </c>
      <c r="G577" s="2"/>
    </row>
    <row r="578" spans="2:7" hidden="1">
      <c r="B578">
        <v>683385</v>
      </c>
      <c r="C578">
        <v>20240812</v>
      </c>
      <c r="D578" t="s">
        <v>40</v>
      </c>
      <c r="E578" t="s">
        <v>4</v>
      </c>
      <c r="F578" s="2"/>
      <c r="G578" s="2">
        <v>441642.9</v>
      </c>
    </row>
    <row r="579" spans="2:7" hidden="1">
      <c r="B579">
        <v>684075</v>
      </c>
      <c r="C579">
        <v>20240812</v>
      </c>
      <c r="D579" t="s">
        <v>40</v>
      </c>
      <c r="E579" t="s">
        <v>3</v>
      </c>
      <c r="F579" s="2">
        <v>481792.28</v>
      </c>
      <c r="G579" s="2"/>
    </row>
    <row r="580" spans="2:7" hidden="1">
      <c r="B580">
        <v>684074</v>
      </c>
      <c r="C580">
        <v>20240813</v>
      </c>
      <c r="D580" t="s">
        <v>40</v>
      </c>
      <c r="E580" t="s">
        <v>4</v>
      </c>
      <c r="F580" s="2"/>
      <c r="G580" s="2">
        <v>481792.28</v>
      </c>
    </row>
    <row r="581" spans="2:7" hidden="1">
      <c r="B581">
        <v>684651</v>
      </c>
      <c r="C581">
        <v>20240813</v>
      </c>
      <c r="D581" t="s">
        <v>40</v>
      </c>
      <c r="E581" t="s">
        <v>3</v>
      </c>
      <c r="F581" s="2">
        <v>521941.62</v>
      </c>
      <c r="G581" s="2"/>
    </row>
    <row r="582" spans="2:7" hidden="1">
      <c r="B582">
        <v>684650</v>
      </c>
      <c r="C582">
        <v>20240814</v>
      </c>
      <c r="D582" t="s">
        <v>40</v>
      </c>
      <c r="E582" t="s">
        <v>4</v>
      </c>
      <c r="F582" s="2"/>
      <c r="G582" s="2">
        <v>521941.62</v>
      </c>
    </row>
    <row r="583" spans="2:7" hidden="1">
      <c r="B583">
        <v>685125</v>
      </c>
      <c r="C583">
        <v>20240814</v>
      </c>
      <c r="D583" t="s">
        <v>40</v>
      </c>
      <c r="E583" t="s">
        <v>3</v>
      </c>
      <c r="F583" s="2">
        <v>562091</v>
      </c>
      <c r="G583" s="2"/>
    </row>
    <row r="584" spans="2:7" hidden="1">
      <c r="B584">
        <v>685124</v>
      </c>
      <c r="C584">
        <v>20240815</v>
      </c>
      <c r="D584" t="s">
        <v>40</v>
      </c>
      <c r="E584" t="s">
        <v>4</v>
      </c>
      <c r="F584" s="2"/>
      <c r="G584" s="2">
        <v>562091</v>
      </c>
    </row>
    <row r="585" spans="2:7" hidden="1">
      <c r="B585">
        <v>685651</v>
      </c>
      <c r="C585">
        <v>20240815</v>
      </c>
      <c r="D585" t="s">
        <v>40</v>
      </c>
      <c r="E585" t="s">
        <v>3</v>
      </c>
      <c r="F585" s="2">
        <v>602240.4</v>
      </c>
      <c r="G585" s="2"/>
    </row>
    <row r="586" spans="2:7" hidden="1">
      <c r="B586">
        <v>685650</v>
      </c>
      <c r="C586">
        <v>20240816</v>
      </c>
      <c r="D586" t="s">
        <v>40</v>
      </c>
      <c r="E586" t="s">
        <v>4</v>
      </c>
      <c r="F586" s="2"/>
      <c r="G586" s="2">
        <v>602240.4</v>
      </c>
    </row>
    <row r="587" spans="2:7" hidden="1">
      <c r="B587">
        <v>686125</v>
      </c>
      <c r="C587">
        <v>20240816</v>
      </c>
      <c r="D587" t="s">
        <v>40</v>
      </c>
      <c r="E587" t="s">
        <v>3</v>
      </c>
      <c r="F587" s="2">
        <v>642389.69999999995</v>
      </c>
      <c r="G587" s="2"/>
    </row>
    <row r="588" spans="2:7" hidden="1">
      <c r="B588">
        <v>686124</v>
      </c>
      <c r="C588">
        <v>20240817</v>
      </c>
      <c r="D588" t="s">
        <v>40</v>
      </c>
      <c r="E588" t="s">
        <v>4</v>
      </c>
      <c r="F588" s="2"/>
      <c r="G588" s="2">
        <v>642389.69999999995</v>
      </c>
    </row>
    <row r="589" spans="2:7" hidden="1">
      <c r="B589">
        <v>686751</v>
      </c>
      <c r="C589">
        <v>20240817</v>
      </c>
      <c r="D589" t="s">
        <v>40</v>
      </c>
      <c r="E589" t="s">
        <v>3</v>
      </c>
      <c r="F589" s="2">
        <v>682539.06</v>
      </c>
      <c r="G589" s="2"/>
    </row>
    <row r="590" spans="2:7" hidden="1">
      <c r="B590">
        <v>686750</v>
      </c>
      <c r="C590">
        <v>20240818</v>
      </c>
      <c r="D590" t="s">
        <v>40</v>
      </c>
      <c r="E590" t="s">
        <v>4</v>
      </c>
      <c r="F590" s="2"/>
      <c r="G590" s="2">
        <v>682539.06</v>
      </c>
    </row>
    <row r="591" spans="2:7" hidden="1">
      <c r="B591">
        <v>686987</v>
      </c>
      <c r="C591">
        <v>20240818</v>
      </c>
      <c r="D591" t="s">
        <v>40</v>
      </c>
      <c r="E591" t="s">
        <v>3</v>
      </c>
      <c r="F591" s="2">
        <v>722688.44</v>
      </c>
      <c r="G591" s="2"/>
    </row>
    <row r="592" spans="2:7" hidden="1">
      <c r="B592">
        <v>686986</v>
      </c>
      <c r="C592">
        <v>20240819</v>
      </c>
      <c r="D592" t="s">
        <v>40</v>
      </c>
      <c r="E592" t="s">
        <v>4</v>
      </c>
      <c r="F592" s="2"/>
      <c r="G592" s="2">
        <v>722688.44</v>
      </c>
    </row>
    <row r="593" spans="2:7" hidden="1">
      <c r="B593">
        <v>687400</v>
      </c>
      <c r="C593">
        <v>20240819</v>
      </c>
      <c r="D593" t="s">
        <v>40</v>
      </c>
      <c r="E593" t="s">
        <v>3</v>
      </c>
      <c r="F593" s="2">
        <v>762837.75</v>
      </c>
      <c r="G593" s="2"/>
    </row>
    <row r="594" spans="2:7" hidden="1">
      <c r="B594">
        <v>687399</v>
      </c>
      <c r="C594">
        <v>20240820</v>
      </c>
      <c r="D594" t="s">
        <v>40</v>
      </c>
      <c r="E594" t="s">
        <v>4</v>
      </c>
      <c r="F594" s="2"/>
      <c r="G594" s="2">
        <v>762837.75</v>
      </c>
    </row>
    <row r="595" spans="2:7" hidden="1">
      <c r="B595">
        <v>687995</v>
      </c>
      <c r="C595">
        <v>20240820</v>
      </c>
      <c r="D595" t="s">
        <v>40</v>
      </c>
      <c r="E595" t="s">
        <v>3</v>
      </c>
      <c r="F595" s="2">
        <v>802987.1</v>
      </c>
      <c r="G595" s="2"/>
    </row>
    <row r="596" spans="2:7" hidden="1">
      <c r="B596">
        <v>687994</v>
      </c>
      <c r="C596">
        <v>20240821</v>
      </c>
      <c r="D596" t="s">
        <v>40</v>
      </c>
      <c r="E596" t="s">
        <v>4</v>
      </c>
      <c r="F596" s="2"/>
      <c r="G596" s="2">
        <v>802987.1</v>
      </c>
    </row>
    <row r="597" spans="2:7" hidden="1">
      <c r="B597">
        <v>688499</v>
      </c>
      <c r="C597">
        <v>20240821</v>
      </c>
      <c r="D597" t="s">
        <v>40</v>
      </c>
      <c r="E597" t="s">
        <v>3</v>
      </c>
      <c r="F597" s="2">
        <v>843136.5</v>
      </c>
      <c r="G597" s="2"/>
    </row>
    <row r="598" spans="2:7" hidden="1">
      <c r="B598">
        <v>688498</v>
      </c>
      <c r="C598">
        <v>20240822</v>
      </c>
      <c r="D598" t="s">
        <v>40</v>
      </c>
      <c r="E598" t="s">
        <v>4</v>
      </c>
      <c r="F598" s="2"/>
      <c r="G598" s="2">
        <v>843136.5</v>
      </c>
    </row>
    <row r="599" spans="2:7" hidden="1">
      <c r="B599">
        <v>688962</v>
      </c>
      <c r="C599">
        <v>20240822</v>
      </c>
      <c r="D599" t="s">
        <v>40</v>
      </c>
      <c r="E599" t="s">
        <v>3</v>
      </c>
      <c r="F599" s="2">
        <v>883285.9</v>
      </c>
      <c r="G599" s="2"/>
    </row>
    <row r="600" spans="2:7" hidden="1">
      <c r="B600">
        <v>688961</v>
      </c>
      <c r="C600">
        <v>20240823</v>
      </c>
      <c r="D600" t="s">
        <v>40</v>
      </c>
      <c r="E600" t="s">
        <v>4</v>
      </c>
      <c r="F600" s="2"/>
      <c r="G600" s="2">
        <v>883285.9</v>
      </c>
    </row>
    <row r="601" spans="2:7" hidden="1">
      <c r="B601">
        <v>689485</v>
      </c>
      <c r="C601">
        <v>20240823</v>
      </c>
      <c r="D601" t="s">
        <v>40</v>
      </c>
      <c r="E601" t="s">
        <v>3</v>
      </c>
      <c r="F601" s="2">
        <v>923435.2</v>
      </c>
      <c r="G601" s="2"/>
    </row>
    <row r="602" spans="2:7" hidden="1">
      <c r="B602">
        <v>689484</v>
      </c>
      <c r="C602">
        <v>20240824</v>
      </c>
      <c r="D602" t="s">
        <v>40</v>
      </c>
      <c r="E602" t="s">
        <v>4</v>
      </c>
      <c r="F602" s="2"/>
      <c r="G602" s="2">
        <v>923435.2</v>
      </c>
    </row>
    <row r="603" spans="2:7" hidden="1">
      <c r="B603">
        <v>690259</v>
      </c>
      <c r="C603">
        <v>20240824</v>
      </c>
      <c r="D603" t="s">
        <v>40</v>
      </c>
      <c r="E603" t="s">
        <v>3</v>
      </c>
      <c r="F603" s="2">
        <v>963584.56</v>
      </c>
      <c r="G603" s="2"/>
    </row>
    <row r="604" spans="2:7" hidden="1">
      <c r="B604">
        <v>690258</v>
      </c>
      <c r="C604">
        <v>20240825</v>
      </c>
      <c r="D604" t="s">
        <v>40</v>
      </c>
      <c r="E604" t="s">
        <v>4</v>
      </c>
      <c r="F604" s="2"/>
      <c r="G604" s="2">
        <v>963584.56</v>
      </c>
    </row>
    <row r="605" spans="2:7" hidden="1">
      <c r="B605">
        <v>690519</v>
      </c>
      <c r="C605">
        <v>20240825</v>
      </c>
      <c r="D605" t="s">
        <v>40</v>
      </c>
      <c r="E605" t="s">
        <v>3</v>
      </c>
      <c r="F605" s="2">
        <v>1003733.94</v>
      </c>
      <c r="G605" s="2"/>
    </row>
    <row r="606" spans="2:7" hidden="1">
      <c r="B606">
        <v>690518</v>
      </c>
      <c r="C606">
        <v>20240826</v>
      </c>
      <c r="D606" t="s">
        <v>40</v>
      </c>
      <c r="E606" t="s">
        <v>4</v>
      </c>
      <c r="F606" s="2"/>
      <c r="G606" s="2">
        <v>1003733.94</v>
      </c>
    </row>
    <row r="607" spans="2:7" hidden="1">
      <c r="B607">
        <v>690982</v>
      </c>
      <c r="C607">
        <v>20240826</v>
      </c>
      <c r="D607" t="s">
        <v>40</v>
      </c>
      <c r="E607" t="s">
        <v>3</v>
      </c>
      <c r="F607" s="2">
        <v>1043883.25</v>
      </c>
      <c r="G607" s="2"/>
    </row>
    <row r="608" spans="2:7" hidden="1">
      <c r="B608">
        <v>690981</v>
      </c>
      <c r="C608">
        <v>20240827</v>
      </c>
      <c r="D608" t="s">
        <v>40</v>
      </c>
      <c r="E608" t="s">
        <v>4</v>
      </c>
      <c r="F608" s="2"/>
      <c r="G608" s="2">
        <v>1043883.25</v>
      </c>
    </row>
    <row r="609" spans="2:7" hidden="1">
      <c r="B609">
        <v>691689</v>
      </c>
      <c r="C609">
        <v>20240827</v>
      </c>
      <c r="D609" t="s">
        <v>40</v>
      </c>
      <c r="E609" t="s">
        <v>3</v>
      </c>
      <c r="F609" s="2">
        <v>1084032.6000000001</v>
      </c>
      <c r="G609" s="2"/>
    </row>
    <row r="610" spans="2:7" hidden="1">
      <c r="B610">
        <v>691688</v>
      </c>
      <c r="C610">
        <v>20240828</v>
      </c>
      <c r="D610" t="s">
        <v>40</v>
      </c>
      <c r="E610" t="s">
        <v>4</v>
      </c>
      <c r="F610" s="2"/>
      <c r="G610" s="2">
        <v>1084032.6000000001</v>
      </c>
    </row>
    <row r="611" spans="2:7" hidden="1">
      <c r="B611">
        <v>692573</v>
      </c>
      <c r="C611">
        <v>20240828</v>
      </c>
      <c r="D611" t="s">
        <v>40</v>
      </c>
      <c r="E611" t="s">
        <v>3</v>
      </c>
      <c r="F611" s="2">
        <v>1124182</v>
      </c>
      <c r="G611" s="2"/>
    </row>
    <row r="612" spans="2:7" hidden="1">
      <c r="B612">
        <v>692572</v>
      </c>
      <c r="C612">
        <v>20240829</v>
      </c>
      <c r="D612" t="s">
        <v>40</v>
      </c>
      <c r="E612" t="s">
        <v>4</v>
      </c>
      <c r="F612" s="2"/>
      <c r="G612" s="2">
        <v>1124182</v>
      </c>
    </row>
    <row r="613" spans="2:7" hidden="1">
      <c r="B613">
        <v>693468</v>
      </c>
      <c r="C613">
        <v>20240829</v>
      </c>
      <c r="D613" t="s">
        <v>40</v>
      </c>
      <c r="E613" t="s">
        <v>3</v>
      </c>
      <c r="F613" s="2">
        <v>1164331.3999999999</v>
      </c>
      <c r="G613" s="2"/>
    </row>
    <row r="614" spans="2:7" hidden="1">
      <c r="B614">
        <v>693467</v>
      </c>
      <c r="C614">
        <v>20240830</v>
      </c>
      <c r="D614" t="s">
        <v>40</v>
      </c>
      <c r="E614" t="s">
        <v>4</v>
      </c>
      <c r="F614" s="2"/>
      <c r="G614" s="2">
        <v>1164331.3999999999</v>
      </c>
    </row>
    <row r="615" spans="2:7" hidden="1">
      <c r="B615">
        <v>694390</v>
      </c>
      <c r="C615">
        <v>20240830</v>
      </c>
      <c r="D615" t="s">
        <v>40</v>
      </c>
      <c r="E615" t="s">
        <v>3</v>
      </c>
      <c r="F615" s="2">
        <v>1205163.6000000001</v>
      </c>
      <c r="G615" s="2"/>
    </row>
    <row r="616" spans="2:7" hidden="1">
      <c r="B616">
        <v>694389</v>
      </c>
      <c r="C616">
        <v>20240831</v>
      </c>
      <c r="D616" t="s">
        <v>40</v>
      </c>
      <c r="E616" t="s">
        <v>4</v>
      </c>
      <c r="F616" s="2"/>
      <c r="G616" s="2">
        <v>1205163.6000000001</v>
      </c>
    </row>
    <row r="617" spans="2:7" hidden="1">
      <c r="B617">
        <v>695113</v>
      </c>
      <c r="C617">
        <v>20240831</v>
      </c>
      <c r="D617" t="s">
        <v>40</v>
      </c>
      <c r="E617" t="s">
        <v>3</v>
      </c>
      <c r="F617" s="2">
        <v>1245995.8999999999</v>
      </c>
      <c r="G617" s="2"/>
    </row>
    <row r="618" spans="2:7" hidden="1">
      <c r="B618">
        <v>695112</v>
      </c>
      <c r="C618">
        <v>20240901</v>
      </c>
      <c r="D618" t="s">
        <v>40</v>
      </c>
      <c r="E618" t="s">
        <v>4</v>
      </c>
      <c r="F618" s="2"/>
      <c r="G618" s="2">
        <v>1245995.8999999999</v>
      </c>
    </row>
    <row r="619" spans="2:7" hidden="1">
      <c r="B619">
        <v>695383</v>
      </c>
      <c r="C619">
        <v>20240901</v>
      </c>
      <c r="D619" t="s">
        <v>40</v>
      </c>
      <c r="E619" t="s">
        <v>3</v>
      </c>
      <c r="F619" s="2">
        <v>40832.29</v>
      </c>
      <c r="G619" s="2"/>
    </row>
    <row r="620" spans="2:7">
      <c r="B620">
        <v>715705</v>
      </c>
      <c r="C620">
        <v>20240901</v>
      </c>
      <c r="D620" t="s">
        <v>37</v>
      </c>
      <c r="E620" t="s">
        <v>3</v>
      </c>
      <c r="F620" s="2">
        <v>1245995.8999999999</v>
      </c>
      <c r="G620" s="2"/>
    </row>
    <row r="621" spans="2:7" hidden="1">
      <c r="B621">
        <v>695382</v>
      </c>
      <c r="C621">
        <v>20240902</v>
      </c>
      <c r="D621" t="s">
        <v>40</v>
      </c>
      <c r="E621" t="s">
        <v>4</v>
      </c>
      <c r="F621" s="2"/>
      <c r="G621" s="2">
        <v>40832.29</v>
      </c>
    </row>
    <row r="622" spans="2:7" hidden="1">
      <c r="B622">
        <v>695841</v>
      </c>
      <c r="C622">
        <v>20240902</v>
      </c>
      <c r="D622" t="s">
        <v>40</v>
      </c>
      <c r="E622" t="s">
        <v>3</v>
      </c>
      <c r="F622" s="2">
        <v>81664.58</v>
      </c>
      <c r="G622" s="2"/>
    </row>
    <row r="623" spans="2:7" hidden="1">
      <c r="B623">
        <v>695840</v>
      </c>
      <c r="C623">
        <v>20240903</v>
      </c>
      <c r="D623" t="s">
        <v>40</v>
      </c>
      <c r="E623" t="s">
        <v>4</v>
      </c>
      <c r="F623" s="2"/>
      <c r="G623" s="2">
        <v>81664.58</v>
      </c>
    </row>
    <row r="624" spans="2:7" hidden="1">
      <c r="B624">
        <v>696801</v>
      </c>
      <c r="C624">
        <v>20240903</v>
      </c>
      <c r="D624" t="s">
        <v>40</v>
      </c>
      <c r="E624" t="s">
        <v>3</v>
      </c>
      <c r="F624" s="2">
        <v>122496.87</v>
      </c>
      <c r="G624" s="2"/>
    </row>
    <row r="625" spans="2:7" hidden="1">
      <c r="B625">
        <v>696800</v>
      </c>
      <c r="C625">
        <v>20240904</v>
      </c>
      <c r="D625" t="s">
        <v>40</v>
      </c>
      <c r="E625" t="s">
        <v>4</v>
      </c>
      <c r="F625" s="2"/>
      <c r="G625" s="2">
        <v>122496.87</v>
      </c>
    </row>
    <row r="626" spans="2:7" hidden="1">
      <c r="B626">
        <v>697609</v>
      </c>
      <c r="C626">
        <v>20240904</v>
      </c>
      <c r="D626" t="s">
        <v>40</v>
      </c>
      <c r="E626" t="s">
        <v>3</v>
      </c>
      <c r="F626" s="2">
        <v>163329.16</v>
      </c>
      <c r="G626" s="2"/>
    </row>
    <row r="627" spans="2:7" hidden="1">
      <c r="B627">
        <v>697608</v>
      </c>
      <c r="C627">
        <v>20240905</v>
      </c>
      <c r="D627" t="s">
        <v>40</v>
      </c>
      <c r="E627" t="s">
        <v>4</v>
      </c>
      <c r="F627" s="2"/>
      <c r="G627" s="2">
        <v>163329.16</v>
      </c>
    </row>
    <row r="628" spans="2:7" hidden="1">
      <c r="B628">
        <v>698334</v>
      </c>
      <c r="C628">
        <v>20240905</v>
      </c>
      <c r="D628" t="s">
        <v>40</v>
      </c>
      <c r="E628" t="s">
        <v>3</v>
      </c>
      <c r="F628" s="2">
        <v>204161.44</v>
      </c>
      <c r="G628" s="2"/>
    </row>
    <row r="629" spans="2:7" hidden="1">
      <c r="B629">
        <v>698333</v>
      </c>
      <c r="C629">
        <v>20240906</v>
      </c>
      <c r="D629" t="s">
        <v>40</v>
      </c>
      <c r="E629" t="s">
        <v>4</v>
      </c>
      <c r="F629" s="2"/>
      <c r="G629" s="2">
        <v>204161.44</v>
      </c>
    </row>
    <row r="630" spans="2:7" hidden="1">
      <c r="B630">
        <v>699169</v>
      </c>
      <c r="C630">
        <v>20240906</v>
      </c>
      <c r="D630" t="s">
        <v>40</v>
      </c>
      <c r="E630" t="s">
        <v>3</v>
      </c>
      <c r="F630" s="2">
        <v>244993.73</v>
      </c>
      <c r="G630" s="2"/>
    </row>
    <row r="631" spans="2:7" hidden="1">
      <c r="B631">
        <v>699168</v>
      </c>
      <c r="C631">
        <v>20240907</v>
      </c>
      <c r="D631" t="s">
        <v>40</v>
      </c>
      <c r="E631" t="s">
        <v>4</v>
      </c>
      <c r="F631" s="2"/>
      <c r="G631" s="2">
        <v>244993.73</v>
      </c>
    </row>
    <row r="632" spans="2:7" hidden="1">
      <c r="B632">
        <v>699937</v>
      </c>
      <c r="C632">
        <v>20240907</v>
      </c>
      <c r="D632" t="s">
        <v>40</v>
      </c>
      <c r="E632" t="s">
        <v>3</v>
      </c>
      <c r="F632" s="2">
        <v>285826.03000000003</v>
      </c>
      <c r="G632" s="2"/>
    </row>
    <row r="633" spans="2:7" hidden="1">
      <c r="B633">
        <v>699936</v>
      </c>
      <c r="C633">
        <v>20240908</v>
      </c>
      <c r="D633" t="s">
        <v>40</v>
      </c>
      <c r="E633" t="s">
        <v>4</v>
      </c>
      <c r="F633" s="2"/>
      <c r="G633" s="2">
        <v>285826.03000000003</v>
      </c>
    </row>
    <row r="634" spans="2:7" hidden="1">
      <c r="B634">
        <v>700189</v>
      </c>
      <c r="C634">
        <v>20240908</v>
      </c>
      <c r="D634" t="s">
        <v>40</v>
      </c>
      <c r="E634" t="s">
        <v>3</v>
      </c>
      <c r="F634" s="2">
        <v>326658.3</v>
      </c>
      <c r="G634" s="2"/>
    </row>
    <row r="635" spans="2:7" hidden="1">
      <c r="B635">
        <v>700188</v>
      </c>
      <c r="C635">
        <v>20240909</v>
      </c>
      <c r="D635" t="s">
        <v>40</v>
      </c>
      <c r="E635" t="s">
        <v>4</v>
      </c>
      <c r="F635" s="2"/>
      <c r="G635" s="2">
        <v>326658.3</v>
      </c>
    </row>
    <row r="636" spans="2:7" hidden="1">
      <c r="B636">
        <v>700607</v>
      </c>
      <c r="C636">
        <v>20240909</v>
      </c>
      <c r="D636" t="s">
        <v>40</v>
      </c>
      <c r="E636" t="s">
        <v>3</v>
      </c>
      <c r="F636" s="2">
        <v>367490.62</v>
      </c>
      <c r="G636" s="2"/>
    </row>
    <row r="637" spans="2:7" hidden="1">
      <c r="B637">
        <v>700606</v>
      </c>
      <c r="C637">
        <v>20240910</v>
      </c>
      <c r="D637" t="s">
        <v>40</v>
      </c>
      <c r="E637" t="s">
        <v>4</v>
      </c>
      <c r="F637" s="2"/>
      <c r="G637" s="2">
        <v>367490.62</v>
      </c>
    </row>
    <row r="638" spans="2:7" hidden="1">
      <c r="B638">
        <v>701191</v>
      </c>
      <c r="C638">
        <v>20240910</v>
      </c>
      <c r="D638" t="s">
        <v>40</v>
      </c>
      <c r="E638" t="s">
        <v>3</v>
      </c>
      <c r="F638" s="2">
        <v>408322.9</v>
      </c>
      <c r="G638" s="2"/>
    </row>
    <row r="639" spans="2:7" hidden="1">
      <c r="B639">
        <v>701190</v>
      </c>
      <c r="C639">
        <v>20240911</v>
      </c>
      <c r="D639" t="s">
        <v>40</v>
      </c>
      <c r="E639" t="s">
        <v>4</v>
      </c>
      <c r="F639" s="2"/>
      <c r="G639" s="2">
        <v>408322.9</v>
      </c>
    </row>
    <row r="640" spans="2:7" hidden="1">
      <c r="B640">
        <v>701966</v>
      </c>
      <c r="C640">
        <v>20240911</v>
      </c>
      <c r="D640" t="s">
        <v>40</v>
      </c>
      <c r="E640" t="s">
        <v>3</v>
      </c>
      <c r="F640" s="2">
        <v>449155.2</v>
      </c>
      <c r="G640" s="2"/>
    </row>
    <row r="641" spans="2:7" hidden="1">
      <c r="B641">
        <v>701965</v>
      </c>
      <c r="C641">
        <v>20240912</v>
      </c>
      <c r="D641" t="s">
        <v>40</v>
      </c>
      <c r="E641" t="s">
        <v>4</v>
      </c>
      <c r="F641" s="2"/>
      <c r="G641" s="2">
        <v>449155.2</v>
      </c>
    </row>
    <row r="642" spans="2:7" hidden="1">
      <c r="B642">
        <v>702422</v>
      </c>
      <c r="C642">
        <v>20240912</v>
      </c>
      <c r="D642" t="s">
        <v>40</v>
      </c>
      <c r="E642" t="s">
        <v>3</v>
      </c>
      <c r="F642" s="2">
        <v>489987.47</v>
      </c>
      <c r="G642" s="2"/>
    </row>
    <row r="643" spans="2:7" hidden="1">
      <c r="B643">
        <v>702421</v>
      </c>
      <c r="C643">
        <v>20240913</v>
      </c>
      <c r="D643" t="s">
        <v>40</v>
      </c>
      <c r="E643" t="s">
        <v>4</v>
      </c>
      <c r="F643" s="2"/>
      <c r="G643" s="2">
        <v>489987.47</v>
      </c>
    </row>
    <row r="644" spans="2:7" hidden="1">
      <c r="B644">
        <v>702886</v>
      </c>
      <c r="C644">
        <v>20240913</v>
      </c>
      <c r="D644" t="s">
        <v>40</v>
      </c>
      <c r="E644" t="s">
        <v>3</v>
      </c>
      <c r="F644" s="2">
        <v>530819.75</v>
      </c>
      <c r="G644" s="2"/>
    </row>
    <row r="645" spans="2:7" hidden="1">
      <c r="B645">
        <v>702885</v>
      </c>
      <c r="C645">
        <v>20240914</v>
      </c>
      <c r="D645" t="s">
        <v>40</v>
      </c>
      <c r="E645" t="s">
        <v>4</v>
      </c>
      <c r="F645" s="2"/>
      <c r="G645" s="2">
        <v>530819.75</v>
      </c>
    </row>
    <row r="646" spans="2:7" hidden="1">
      <c r="B646">
        <v>703237</v>
      </c>
      <c r="C646">
        <v>20240914</v>
      </c>
      <c r="D646" t="s">
        <v>40</v>
      </c>
      <c r="E646" t="s">
        <v>3</v>
      </c>
      <c r="F646" s="2">
        <v>571652.06000000006</v>
      </c>
      <c r="G646" s="2"/>
    </row>
    <row r="647" spans="2:7" hidden="1">
      <c r="B647">
        <v>703236</v>
      </c>
      <c r="C647">
        <v>20240915</v>
      </c>
      <c r="D647" t="s">
        <v>40</v>
      </c>
      <c r="E647" t="s">
        <v>4</v>
      </c>
      <c r="F647" s="2"/>
      <c r="G647" s="2">
        <v>571652.06000000006</v>
      </c>
    </row>
    <row r="648" spans="2:7" hidden="1">
      <c r="B648">
        <v>703489</v>
      </c>
      <c r="C648">
        <v>20240915</v>
      </c>
      <c r="D648" t="s">
        <v>40</v>
      </c>
      <c r="E648" t="s">
        <v>3</v>
      </c>
      <c r="F648" s="2">
        <v>612484.4</v>
      </c>
      <c r="G648" s="2"/>
    </row>
    <row r="649" spans="2:7" hidden="1">
      <c r="B649">
        <v>703488</v>
      </c>
      <c r="C649">
        <v>20240916</v>
      </c>
      <c r="D649" t="s">
        <v>40</v>
      </c>
      <c r="E649" t="s">
        <v>4</v>
      </c>
      <c r="F649" s="2"/>
      <c r="G649" s="2">
        <v>612484.4</v>
      </c>
    </row>
    <row r="650" spans="2:7" hidden="1">
      <c r="B650">
        <v>703942</v>
      </c>
      <c r="C650">
        <v>20240916</v>
      </c>
      <c r="D650" t="s">
        <v>40</v>
      </c>
      <c r="E650" t="s">
        <v>3</v>
      </c>
      <c r="F650" s="2">
        <v>653316.6</v>
      </c>
      <c r="G650" s="2"/>
    </row>
    <row r="651" spans="2:7" hidden="1">
      <c r="B651">
        <v>703941</v>
      </c>
      <c r="C651">
        <v>20240917</v>
      </c>
      <c r="D651" t="s">
        <v>40</v>
      </c>
      <c r="E651" t="s">
        <v>4</v>
      </c>
      <c r="F651" s="2"/>
      <c r="G651" s="2">
        <v>653316.6</v>
      </c>
    </row>
    <row r="652" spans="2:7" hidden="1">
      <c r="B652">
        <v>704472</v>
      </c>
      <c r="C652">
        <v>20240917</v>
      </c>
      <c r="D652" t="s">
        <v>40</v>
      </c>
      <c r="E652" t="s">
        <v>3</v>
      </c>
      <c r="F652" s="2">
        <v>694148.94</v>
      </c>
      <c r="G652" s="2"/>
    </row>
    <row r="653" spans="2:7" hidden="1">
      <c r="B653">
        <v>704471</v>
      </c>
      <c r="C653">
        <v>20240918</v>
      </c>
      <c r="D653" t="s">
        <v>40</v>
      </c>
      <c r="E653" t="s">
        <v>4</v>
      </c>
      <c r="F653" s="2"/>
      <c r="G653" s="2">
        <v>694148.94</v>
      </c>
    </row>
    <row r="654" spans="2:7" hidden="1">
      <c r="B654">
        <v>704922</v>
      </c>
      <c r="C654">
        <v>20240918</v>
      </c>
      <c r="D654" t="s">
        <v>40</v>
      </c>
      <c r="E654" t="s">
        <v>3</v>
      </c>
      <c r="F654" s="2">
        <v>734981.25</v>
      </c>
      <c r="G654" s="2"/>
    </row>
    <row r="655" spans="2:7" hidden="1">
      <c r="B655">
        <v>704921</v>
      </c>
      <c r="C655">
        <v>20240919</v>
      </c>
      <c r="D655" t="s">
        <v>40</v>
      </c>
      <c r="E655" t="s">
        <v>4</v>
      </c>
      <c r="F655" s="2"/>
      <c r="G655" s="2">
        <v>734981.25</v>
      </c>
    </row>
    <row r="656" spans="2:7" hidden="1">
      <c r="B656">
        <v>705513</v>
      </c>
      <c r="C656">
        <v>20240919</v>
      </c>
      <c r="D656" t="s">
        <v>40</v>
      </c>
      <c r="E656" t="s">
        <v>3</v>
      </c>
      <c r="F656" s="2">
        <v>775813.5</v>
      </c>
      <c r="G656" s="2"/>
    </row>
    <row r="657" spans="2:7" hidden="1">
      <c r="B657">
        <v>705512</v>
      </c>
      <c r="C657">
        <v>20240920</v>
      </c>
      <c r="D657" t="s">
        <v>40</v>
      </c>
      <c r="E657" t="s">
        <v>4</v>
      </c>
      <c r="F657" s="2"/>
      <c r="G657" s="2">
        <v>775813.5</v>
      </c>
    </row>
    <row r="658" spans="2:7" hidden="1">
      <c r="B658">
        <v>706316</v>
      </c>
      <c r="C658">
        <v>20240920</v>
      </c>
      <c r="D658" t="s">
        <v>40</v>
      </c>
      <c r="E658" t="s">
        <v>3</v>
      </c>
      <c r="F658" s="2">
        <v>815408.44</v>
      </c>
      <c r="G658" s="2"/>
    </row>
    <row r="659" spans="2:7" hidden="1">
      <c r="B659">
        <v>706315</v>
      </c>
      <c r="C659">
        <v>20240921</v>
      </c>
      <c r="D659" t="s">
        <v>40</v>
      </c>
      <c r="E659" t="s">
        <v>4</v>
      </c>
      <c r="F659" s="2"/>
      <c r="G659" s="2">
        <v>815408.44</v>
      </c>
    </row>
    <row r="660" spans="2:7" hidden="1">
      <c r="B660">
        <v>706802</v>
      </c>
      <c r="C660">
        <v>20240921</v>
      </c>
      <c r="D660" t="s">
        <v>40</v>
      </c>
      <c r="E660" t="s">
        <v>3</v>
      </c>
      <c r="F660" s="2">
        <v>855003.4</v>
      </c>
      <c r="G660" s="2"/>
    </row>
    <row r="661" spans="2:7" hidden="1">
      <c r="B661">
        <v>706801</v>
      </c>
      <c r="C661">
        <v>20240922</v>
      </c>
      <c r="D661" t="s">
        <v>40</v>
      </c>
      <c r="E661" t="s">
        <v>4</v>
      </c>
      <c r="F661" s="2"/>
      <c r="G661" s="2">
        <v>855003.4</v>
      </c>
    </row>
    <row r="662" spans="2:7" hidden="1">
      <c r="B662">
        <v>707059</v>
      </c>
      <c r="C662">
        <v>20240922</v>
      </c>
      <c r="D662" t="s">
        <v>40</v>
      </c>
      <c r="E662" t="s">
        <v>3</v>
      </c>
      <c r="F662" s="2">
        <v>894598.3</v>
      </c>
      <c r="G662" s="2"/>
    </row>
    <row r="663" spans="2:7" hidden="1">
      <c r="B663">
        <v>707058</v>
      </c>
      <c r="C663">
        <v>20240923</v>
      </c>
      <c r="D663" t="s">
        <v>40</v>
      </c>
      <c r="E663" t="s">
        <v>4</v>
      </c>
      <c r="F663" s="2"/>
      <c r="G663" s="2">
        <v>894598.3</v>
      </c>
    </row>
    <row r="664" spans="2:7" hidden="1">
      <c r="B664">
        <v>707467</v>
      </c>
      <c r="C664">
        <v>20240923</v>
      </c>
      <c r="D664" t="s">
        <v>40</v>
      </c>
      <c r="E664" t="s">
        <v>3</v>
      </c>
      <c r="F664" s="2">
        <v>934193.25</v>
      </c>
      <c r="G664" s="2"/>
    </row>
    <row r="665" spans="2:7" hidden="1">
      <c r="B665">
        <v>707466</v>
      </c>
      <c r="C665">
        <v>20240924</v>
      </c>
      <c r="D665" t="s">
        <v>40</v>
      </c>
      <c r="E665" t="s">
        <v>4</v>
      </c>
      <c r="F665" s="2"/>
      <c r="G665" s="2">
        <v>934193.25</v>
      </c>
    </row>
    <row r="666" spans="2:7" hidden="1">
      <c r="B666">
        <v>707844</v>
      </c>
      <c r="C666">
        <v>20240924</v>
      </c>
      <c r="D666" t="s">
        <v>40</v>
      </c>
      <c r="E666" t="s">
        <v>3</v>
      </c>
      <c r="F666" s="2">
        <v>973788.2</v>
      </c>
      <c r="G666" s="2"/>
    </row>
    <row r="667" spans="2:7" hidden="1">
      <c r="B667">
        <v>707843</v>
      </c>
      <c r="C667">
        <v>20240925</v>
      </c>
      <c r="D667" t="s">
        <v>40</v>
      </c>
      <c r="E667" t="s">
        <v>4</v>
      </c>
      <c r="F667" s="2"/>
      <c r="G667" s="2">
        <v>973788.2</v>
      </c>
    </row>
    <row r="668" spans="2:7" hidden="1">
      <c r="B668">
        <v>708444</v>
      </c>
      <c r="C668">
        <v>20240925</v>
      </c>
      <c r="D668" t="s">
        <v>40</v>
      </c>
      <c r="E668" t="s">
        <v>3</v>
      </c>
      <c r="F668" s="2">
        <v>1013383.2</v>
      </c>
      <c r="G668" s="2"/>
    </row>
    <row r="669" spans="2:7" hidden="1">
      <c r="B669">
        <v>708443</v>
      </c>
      <c r="C669">
        <v>20240926</v>
      </c>
      <c r="D669" t="s">
        <v>40</v>
      </c>
      <c r="E669" t="s">
        <v>4</v>
      </c>
      <c r="F669" s="2"/>
      <c r="G669" s="2">
        <v>1013383.2</v>
      </c>
    </row>
    <row r="670" spans="2:7" hidden="1">
      <c r="B670">
        <v>709420</v>
      </c>
      <c r="C670">
        <v>20240926</v>
      </c>
      <c r="D670" t="s">
        <v>40</v>
      </c>
      <c r="E670" t="s">
        <v>3</v>
      </c>
      <c r="F670" s="2">
        <v>1052978.1000000001</v>
      </c>
      <c r="G670" s="2"/>
    </row>
    <row r="671" spans="2:7" hidden="1">
      <c r="B671">
        <v>709419</v>
      </c>
      <c r="C671">
        <v>20240927</v>
      </c>
      <c r="D671" t="s">
        <v>40</v>
      </c>
      <c r="E671" t="s">
        <v>4</v>
      </c>
      <c r="F671" s="2"/>
      <c r="G671" s="2">
        <v>1052978.1000000001</v>
      </c>
    </row>
    <row r="672" spans="2:7" hidden="1">
      <c r="B672">
        <v>710581</v>
      </c>
      <c r="C672">
        <v>20240927</v>
      </c>
      <c r="D672" t="s">
        <v>40</v>
      </c>
      <c r="E672" t="s">
        <v>3</v>
      </c>
      <c r="F672" s="2">
        <v>6113597</v>
      </c>
      <c r="G672" s="2"/>
    </row>
    <row r="673" spans="2:7" hidden="1">
      <c r="B673">
        <v>710580</v>
      </c>
      <c r="C673">
        <v>20240928</v>
      </c>
      <c r="D673" t="s">
        <v>40</v>
      </c>
      <c r="E673" t="s">
        <v>4</v>
      </c>
      <c r="F673" s="2"/>
      <c r="G673" s="2">
        <v>6113597</v>
      </c>
    </row>
    <row r="674" spans="2:7" hidden="1">
      <c r="B674">
        <v>711523</v>
      </c>
      <c r="C674">
        <v>20240928</v>
      </c>
      <c r="D674" t="s">
        <v>40</v>
      </c>
      <c r="E674" t="s">
        <v>3</v>
      </c>
      <c r="F674" s="2">
        <v>6153191.5</v>
      </c>
      <c r="G674" s="2"/>
    </row>
    <row r="675" spans="2:7" hidden="1">
      <c r="B675">
        <v>711522</v>
      </c>
      <c r="C675">
        <v>20240929</v>
      </c>
      <c r="D675" t="s">
        <v>40</v>
      </c>
      <c r="E675" t="s">
        <v>4</v>
      </c>
      <c r="F675" s="2"/>
      <c r="G675" s="2">
        <v>6153191.5</v>
      </c>
    </row>
    <row r="676" spans="2:7" hidden="1">
      <c r="B676">
        <v>711789</v>
      </c>
      <c r="C676">
        <v>20240929</v>
      </c>
      <c r="D676" t="s">
        <v>40</v>
      </c>
      <c r="E676" t="s">
        <v>3</v>
      </c>
      <c r="F676" s="2">
        <v>6192786.5</v>
      </c>
      <c r="G676" s="2"/>
    </row>
    <row r="677" spans="2:7" hidden="1">
      <c r="B677">
        <v>711788</v>
      </c>
      <c r="C677">
        <v>20240930</v>
      </c>
      <c r="D677" t="s">
        <v>40</v>
      </c>
      <c r="E677" t="s">
        <v>4</v>
      </c>
      <c r="F677" s="2"/>
      <c r="G677" s="2">
        <v>6192786.5</v>
      </c>
    </row>
    <row r="678" spans="2:7" hidden="1">
      <c r="B678">
        <v>713233</v>
      </c>
      <c r="C678">
        <v>20240930</v>
      </c>
      <c r="D678" t="s">
        <v>40</v>
      </c>
      <c r="E678" t="s">
        <v>3</v>
      </c>
      <c r="F678" s="2">
        <v>6233896.5</v>
      </c>
      <c r="G678" s="2"/>
    </row>
    <row r="679" spans="2:7" hidden="1">
      <c r="B679">
        <v>713232</v>
      </c>
      <c r="C679">
        <v>20241001</v>
      </c>
      <c r="D679" t="s">
        <v>40</v>
      </c>
      <c r="E679" t="s">
        <v>4</v>
      </c>
      <c r="F679" s="2"/>
      <c r="G679" s="2">
        <v>6233896.5</v>
      </c>
    </row>
    <row r="680" spans="2:7" hidden="1">
      <c r="B680">
        <v>714888</v>
      </c>
      <c r="C680">
        <v>20241001</v>
      </c>
      <c r="D680" t="s">
        <v>40</v>
      </c>
      <c r="E680" t="s">
        <v>3</v>
      </c>
      <c r="F680" s="2">
        <v>6275006</v>
      </c>
      <c r="G680" s="2"/>
    </row>
    <row r="681" spans="2:7">
      <c r="B681">
        <v>715704</v>
      </c>
      <c r="C681">
        <v>20241001</v>
      </c>
      <c r="D681" t="s">
        <v>37</v>
      </c>
      <c r="E681" t="s">
        <v>3</v>
      </c>
      <c r="F681" s="2">
        <v>1212872.3999999999</v>
      </c>
      <c r="G681" s="2"/>
    </row>
    <row r="682" spans="2:7" hidden="1">
      <c r="B682">
        <v>714887</v>
      </c>
      <c r="C682">
        <v>20241002</v>
      </c>
      <c r="D682" t="s">
        <v>40</v>
      </c>
      <c r="E682" t="s">
        <v>4</v>
      </c>
      <c r="F682" s="2"/>
      <c r="G682" s="2">
        <v>6275006</v>
      </c>
    </row>
    <row r="683" spans="2:7" hidden="1">
      <c r="B683">
        <v>715517</v>
      </c>
      <c r="C683">
        <v>20241002</v>
      </c>
      <c r="D683" t="s">
        <v>40</v>
      </c>
      <c r="E683" t="s">
        <v>3</v>
      </c>
      <c r="F683" s="2">
        <v>82218.92</v>
      </c>
      <c r="G683" s="2"/>
    </row>
    <row r="684" spans="2:7" hidden="1">
      <c r="B684">
        <v>715516</v>
      </c>
      <c r="C684">
        <v>20241003</v>
      </c>
      <c r="D684" t="s">
        <v>40</v>
      </c>
      <c r="E684" t="s">
        <v>4</v>
      </c>
      <c r="F684" s="2"/>
      <c r="G684" s="2">
        <v>82218.92</v>
      </c>
    </row>
    <row r="685" spans="2:7">
      <c r="B685" t="s">
        <v>30</v>
      </c>
      <c r="F685" s="2"/>
      <c r="G685" s="2">
        <f>SUM(account_2106682[Debit])-SUM(account_2106682[Credit])</f>
        <v>6233896.25</v>
      </c>
    </row>
    <row r="1419" spans="4:4">
      <c r="D1419" s="1"/>
    </row>
  </sheetData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41BE1-1E01-AF46-9E06-ACD0A2BB0559}">
  <dimension ref="A10:P11"/>
  <sheetViews>
    <sheetView showGridLines="0" tabSelected="1" workbookViewId="0">
      <selection activeCell="A11" sqref="A11:A358"/>
    </sheetView>
  </sheetViews>
  <sheetFormatPr baseColWidth="10" defaultRowHeight="16"/>
  <cols>
    <col min="1" max="1" width="17.1640625" bestFit="1" customWidth="1"/>
    <col min="2" max="2" width="16" bestFit="1" customWidth="1"/>
    <col min="3" max="3" width="19.5" bestFit="1" customWidth="1"/>
    <col min="4" max="4" width="11" bestFit="1" customWidth="1"/>
    <col min="5" max="5" width="15" bestFit="1" customWidth="1"/>
    <col min="6" max="6" width="12.6640625" bestFit="1" customWidth="1"/>
    <col min="7" max="7" width="17.6640625" bestFit="1" customWidth="1"/>
    <col min="8" max="8" width="19.1640625" bestFit="1" customWidth="1"/>
    <col min="9" max="9" width="22.33203125" bestFit="1" customWidth="1"/>
    <col min="10" max="10" width="39.6640625" bestFit="1" customWidth="1"/>
    <col min="11" max="11" width="21.1640625" bestFit="1" customWidth="1"/>
    <col min="12" max="12" width="23.6640625" bestFit="1" customWidth="1"/>
    <col min="13" max="13" width="39.6640625" bestFit="1" customWidth="1"/>
    <col min="14" max="14" width="22.5" bestFit="1" customWidth="1"/>
    <col min="15" max="15" width="13" bestFit="1" customWidth="1"/>
    <col min="16" max="16" width="14.6640625" bestFit="1" customWidth="1"/>
  </cols>
  <sheetData>
    <row r="10" spans="1:16">
      <c r="A10" t="s">
        <v>12</v>
      </c>
      <c r="B10" t="s">
        <v>13</v>
      </c>
      <c r="C10" t="s">
        <v>14</v>
      </c>
      <c r="D10" t="s">
        <v>15</v>
      </c>
      <c r="E10" t="s">
        <v>16</v>
      </c>
      <c r="F10" t="s">
        <v>17</v>
      </c>
      <c r="G10" t="s">
        <v>18</v>
      </c>
      <c r="H10" t="s">
        <v>19</v>
      </c>
      <c r="I10" t="s">
        <v>20</v>
      </c>
      <c r="J10" t="s">
        <v>21</v>
      </c>
      <c r="K10" t="s">
        <v>22</v>
      </c>
      <c r="L10" t="s">
        <v>23</v>
      </c>
      <c r="M10" t="s">
        <v>24</v>
      </c>
      <c r="N10" t="s">
        <v>25</v>
      </c>
      <c r="O10" t="s">
        <v>26</v>
      </c>
      <c r="P10" t="s">
        <v>27</v>
      </c>
    </row>
    <row r="11" spans="1:16">
      <c r="A11" s="3"/>
      <c r="B11" s="3"/>
      <c r="C11" s="3"/>
      <c r="D11" s="3"/>
      <c r="E11" s="3"/>
      <c r="F11" s="3"/>
      <c r="G11" s="4"/>
      <c r="H11" s="3"/>
      <c r="I11" s="5"/>
      <c r="J11" s="6"/>
      <c r="K11" s="3"/>
      <c r="L11" s="3"/>
      <c r="M11" s="3"/>
      <c r="N11" s="3"/>
      <c r="O11" s="3"/>
      <c r="P11" s="3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B3587-B823-3848-BE52-9664BA7E2829}">
  <dimension ref="A1:H7"/>
  <sheetViews>
    <sheetView showGridLines="0" workbookViewId="0">
      <selection activeCell="A7" sqref="A7"/>
    </sheetView>
  </sheetViews>
  <sheetFormatPr baseColWidth="10" defaultRowHeight="16"/>
  <cols>
    <col min="1" max="1" width="12.83203125" bestFit="1" customWidth="1"/>
    <col min="2" max="2" width="94.33203125" bestFit="1" customWidth="1"/>
    <col min="3" max="3" width="15" customWidth="1"/>
  </cols>
  <sheetData>
    <row r="1" spans="1:8">
      <c r="A1" t="s">
        <v>5</v>
      </c>
      <c r="B1" t="s">
        <v>6</v>
      </c>
      <c r="D1" t="s">
        <v>0</v>
      </c>
      <c r="E1" t="s">
        <v>2</v>
      </c>
      <c r="F1" t="s">
        <v>1</v>
      </c>
      <c r="G1" t="s">
        <v>7</v>
      </c>
      <c r="H1" t="s">
        <v>8</v>
      </c>
    </row>
    <row r="2" spans="1:8">
      <c r="A2">
        <v>2106903</v>
      </c>
      <c r="B2" t="s">
        <v>42</v>
      </c>
    </row>
    <row r="3" spans="1:8">
      <c r="A3">
        <v>2106681</v>
      </c>
      <c r="B3" t="s">
        <v>38</v>
      </c>
    </row>
    <row r="4" spans="1:8">
      <c r="A4">
        <v>2106682</v>
      </c>
      <c r="B4" t="s">
        <v>39</v>
      </c>
    </row>
    <row r="5" spans="1:8">
      <c r="A5">
        <v>2106680</v>
      </c>
      <c r="B5" t="s">
        <v>36</v>
      </c>
    </row>
    <row r="6" spans="1:8">
      <c r="A6">
        <v>2039960</v>
      </c>
      <c r="B6" t="s">
        <v>33</v>
      </c>
    </row>
    <row r="7" spans="1:8">
      <c r="A7">
        <v>2056346</v>
      </c>
      <c r="B7" t="s">
        <v>28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7EB002B05A274A9F992E1AA8E9C2CD" ma:contentTypeVersion="4" ma:contentTypeDescription="Create a new document." ma:contentTypeScope="" ma:versionID="6ff9ce7f38ae3796892fe7a7dc36141a">
  <xsd:schema xmlns:xsd="http://www.w3.org/2001/XMLSchema" xmlns:xs="http://www.w3.org/2001/XMLSchema" xmlns:p="http://schemas.microsoft.com/office/2006/metadata/properties" xmlns:ns2="e811df3d-6baf-48e3-8134-c0eb05a3e275" targetNamespace="http://schemas.microsoft.com/office/2006/metadata/properties" ma:root="true" ma:fieldsID="598c1aaff15a4181df4eb6523d5f2ae7" ns2:_="">
    <xsd:import namespace="e811df3d-6baf-48e3-8134-c0eb05a3e2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11df3d-6baf-48e3-8134-c0eb05a3e2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scriptIds xmlns="http://schemas.microsoft.com/office/extensibility/maker/v1.0" id="script-ids-node-id">
  <scriptId id="ms-officescript%3A%2F%2Fonedrive_business_itemlink%2F01ZR7BC22JZBTX37WA45HZN5JGI3OLQ5WZ:ms-officescript%3A%2F%2Fonedrive_business_sharinglink%2Fu!aHR0cHM6Ly9kaXNjb3ZlcnliYW5rMzY1LW15LnNoYXJlcG9pbnQuY29tLzp1Oi9nL3BlcnNvbmFsL3BpZXJyZW9vc3RodWl6ZW5fZGlzY292ZXJ5X2JhbmsvRVVuSVozMy13T2RQbHZVbVJ0eTRkdGtCVXNMYzY2Z0ZMRlgxX19MdlEwMUxIdw"/>
  <scriptId id="ms-officescript%3A%2F%2Fonedrive_business_itemlink%2F01ZR7BC24VKI5Z7J5SP5G35IXU4QKHURAN:ms-officescript%3A%2F%2Fonedrive_business_sharinglink%2Fu!aHR0cHM6Ly9kaXNjb3ZlcnliYW5rMzY1LW15LnNoYXJlcG9pbnQuY29tLzp1Oi9nL3BlcnNvbmFsL3BpZXJyZW9vc3RodWl6ZW5fZGlzY292ZXJ5X2JhbmsvRVpWU081LW5zbjlOdnFMMDVCUjZSQTBCRXhsV1FacnlfWVY2LUx3aHlrUm16Zw"/>
  <scriptId id="ms-officescript%3A%2F%2Fonedrive_business_itemlink%2F01ZR7BC27X5C27D5FGYNE3DZNAKYKCDMTH:ms-officescript%3A%2F%2Fonedrive_business_sharinglink%2Fu!aHR0cHM6Ly9kaXNjb3ZlcnliYW5rMzY1LW15LnNoYXJlcG9pbnQuY29tLzp1Oi9nL3BlcnNvbmFsL3BpZXJyZW9vc3RodWl6ZW5fZGlzY292ZXJ5X2JhbmsvRWZmb3RmSDBwc05Kc2VXZ1ZoUWhzbWNCWEd5ZXVUTENPTm9LakwwbTUxREtvQQ"/>
</scriptIds>
</file>

<file path=customXml/itemProps1.xml><?xml version="1.0" encoding="utf-8"?>
<ds:datastoreItem xmlns:ds="http://schemas.openxmlformats.org/officeDocument/2006/customXml" ds:itemID="{85E9B3A1-1AA2-4C8B-B75F-FD864631C7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7D70A3-47F8-475F-919B-312B6D7B0C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11df3d-6baf-48e3-8134-c0eb05a3e2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EDDCF1A-71DE-4088-8C53-F6D491E80D4A}">
  <ds:schemaRefs>
    <ds:schemaRef ds:uri="http://schemas.microsoft.com/office/2006/metadata/properties"/>
    <ds:schemaRef ds:uri="http://purl.org/dc/dcmitype/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e811df3d-6baf-48e3-8134-c0eb05a3e275"/>
  </ds:schemaRefs>
</ds:datastoreItem>
</file>

<file path=customXml/itemProps4.xml><?xml version="1.0" encoding="utf-8"?>
<ds:datastoreItem xmlns:ds="http://schemas.openxmlformats.org/officeDocument/2006/customXml" ds:itemID="{959B8486-629A-5B42-A8C8-D41093E4FB68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t_accounts</vt:lpstr>
      <vt:lpstr>postings_source</vt:lpstr>
      <vt:lpstr>reference_data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Oosthuizen</dc:creator>
  <cp:lastModifiedBy>Pierre Oosthuizen</cp:lastModifiedBy>
  <dcterms:created xsi:type="dcterms:W3CDTF">2024-01-17T09:12:51Z</dcterms:created>
  <dcterms:modified xsi:type="dcterms:W3CDTF">2024-10-03T11:18:21Z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0x010100F57EB002B05A274A9F992E1AA8E9C2CD</vt:lpwstr>
  </property>
</Properties>
</file>